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1df204dd1d4f1c6/Jobs/UCD - all projects/UCD MIS in DSS/Capstone Projects/Actual Projects/Group 21 Project 47 - Stonehouse/"/>
    </mc:Choice>
  </mc:AlternateContent>
  <xr:revisionPtr revIDLastSave="29" documentId="13_ncr:1_{F0F35E8B-A79F-413D-A1C1-ECBBB04F2D0F}" xr6:coauthVersionLast="47" xr6:coauthVersionMax="47" xr10:uidLastSave="{7509F9F5-E120-4DB6-B456-4F0B7BC52568}"/>
  <bookViews>
    <workbookView xWindow="-120" yWindow="-120" windowWidth="51840" windowHeight="21120" tabRatio="968" activeTab="7" xr2:uid="{00000000-000D-0000-FFFF-FFFF00000000}"/>
  </bookViews>
  <sheets>
    <sheet name="REPAK Summary" sheetId="22" r:id="rId1"/>
    <sheet name="RepakH224Sum" sheetId="21" r:id="rId2"/>
    <sheet name="RepakH224" sheetId="20" r:id="rId3"/>
    <sheet name="RepakH124Sum" sheetId="19" r:id="rId4"/>
    <sheet name="RepakH124" sheetId="18" r:id="rId5"/>
    <sheet name="Summary" sheetId="5" r:id="rId6"/>
    <sheet name="HSWHProdsMerged" sheetId="4" r:id="rId7"/>
    <sheet name="HSWHProdsVolsMerged" sheetId="25" r:id="rId8"/>
    <sheet name="MrgSuppPvt-ProdCount" sheetId="6" r:id="rId9"/>
    <sheet name="HWWHSpcMat" sheetId="17" r:id="rId10"/>
    <sheet name="HSWHPkgType123" sheetId="16" r:id="rId11"/>
    <sheet name="HSWHPkgLvls" sheetId="14" r:id="rId12"/>
    <sheet name="HSWHPkgKGs" sheetId="15" r:id="rId13"/>
    <sheet name="Specs-HS" sheetId="1" r:id="rId14"/>
    <sheet name="HS 2024 Vols" sheetId="10" r:id="rId15"/>
    <sheet name="Specs-WH" sheetId="2" r:id="rId16"/>
    <sheet name="WH Single Product" sheetId="29" r:id="rId17"/>
    <sheet name="WH 2024 Vols" sheetId="11" r:id="rId18"/>
    <sheet name="Vols" sheetId="27" r:id="rId19"/>
    <sheet name="HSWH2024VolMrg" sheetId="26" r:id="rId20"/>
    <sheet name="HSWHVolsPivot" sheetId="13" r:id="rId21"/>
    <sheet name="VolbyDept" sheetId="30" r:id="rId22"/>
  </sheets>
  <definedNames>
    <definedName name="_xlnm._FilterDatabase" localSheetId="14" hidden="1">'HS 2024 Vols'!$A$1:$G$68</definedName>
    <definedName name="_xlnm._FilterDatabase" localSheetId="19" hidden="1">HSWH2024VolMrg!$A$1:$I$144</definedName>
    <definedName name="_xlnm._FilterDatabase" localSheetId="6" hidden="1">HSWHProdsMerged!$A$1:$O$236</definedName>
    <definedName name="_xlnm._FilterDatabase" localSheetId="7" hidden="1">HSWHProdsVolsMerged!$A$1:$O$236</definedName>
    <definedName name="_xlnm._FilterDatabase" localSheetId="13" hidden="1">'Specs-HS'!$A$1:$O$110</definedName>
    <definedName name="_xlnm._FilterDatabase" localSheetId="15" hidden="1">'Specs-WH'!$A$1:$O$127</definedName>
    <definedName name="_xlnm._FilterDatabase" localSheetId="17" hidden="1">'WH 2024 Vols'!$A$1:$H$78</definedName>
    <definedName name="_xlnm._FilterDatabase" localSheetId="16" hidden="1">'WH Single Product'!$A$1:$M$72</definedName>
    <definedName name="_xlchart.v1.10" hidden="1">VolbyDept!$E$3</definedName>
    <definedName name="_xlchart.v1.11" hidden="1">VolbyDept!$E$4:$E$28</definedName>
    <definedName name="_xlchart.v1.9" hidden="1">VolbyDept!$D$4:$D$28</definedName>
    <definedName name="_xlchart.v2.0" hidden="1">'MrgSuppPvt-ProdCount'!$D$4:$D$18</definedName>
    <definedName name="_xlchart.v2.1" hidden="1">'MrgSuppPvt-ProdCount'!$E$3</definedName>
    <definedName name="_xlchart.v2.2" hidden="1">'MrgSuppPvt-ProdCount'!$E$4:$E$18</definedName>
    <definedName name="_xlchart.v2.3" hidden="1">Vols!$H$25:$H$42</definedName>
    <definedName name="_xlchart.v2.4" hidden="1">Vols!$I$24</definedName>
    <definedName name="_xlchart.v2.5" hidden="1">Vols!$I$25:$I$42</definedName>
    <definedName name="_xlchart.v2.6" hidden="1">HSWHVolsPivot!$D$4:$D$21</definedName>
    <definedName name="_xlchart.v2.7" hidden="1">HSWHVolsPivot!$E$3</definedName>
    <definedName name="_xlchart.v2.8" hidden="1">HSWHVolsPivot!$E$4:$E$21</definedName>
    <definedName name="_xlnm.Print_Titles" localSheetId="4">RepakH124!$1:$3</definedName>
    <definedName name="_xlnm.Print_Titles" localSheetId="3">RepakH124Sum!$1:$3</definedName>
    <definedName name="_xlnm.Print_Titles" localSheetId="2">RepakH224!$1:$3</definedName>
    <definedName name="_xlnm.Print_Titles" localSheetId="1">RepakH224Sum!$1:$3</definedName>
  </definedNames>
  <calcPr calcId="191029"/>
  <pivotCaches>
    <pivotCache cacheId="0" r:id="rId23"/>
    <pivotCache cacheId="1" r:id="rId24"/>
    <pivotCache cacheId="2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1" l="1"/>
  <c r="I8" i="26"/>
  <c r="I68" i="26"/>
  <c r="I56" i="26"/>
  <c r="I23" i="26"/>
  <c r="I47" i="26"/>
  <c r="I11" i="26"/>
  <c r="I59" i="26"/>
  <c r="I84" i="26"/>
  <c r="I80" i="26"/>
  <c r="I15" i="26"/>
  <c r="I107" i="26"/>
  <c r="I75" i="26"/>
  <c r="I93" i="26"/>
  <c r="I65" i="26"/>
  <c r="I95" i="26"/>
  <c r="I10" i="26"/>
  <c r="I52" i="26"/>
  <c r="I12" i="26"/>
  <c r="I87" i="26"/>
  <c r="I29" i="26"/>
  <c r="I22" i="26"/>
  <c r="I67" i="26"/>
  <c r="I30" i="26"/>
  <c r="I6" i="26"/>
  <c r="I4" i="26"/>
  <c r="I25" i="26"/>
  <c r="I100" i="26"/>
  <c r="I27" i="26"/>
  <c r="I111" i="26"/>
  <c r="I33" i="26"/>
  <c r="I131" i="26"/>
  <c r="I102" i="26"/>
  <c r="I7" i="26"/>
  <c r="I9" i="26"/>
  <c r="I127" i="26"/>
  <c r="I114" i="26"/>
  <c r="I98" i="26"/>
  <c r="I35" i="26"/>
  <c r="I37" i="26"/>
  <c r="I48" i="26"/>
  <c r="I108" i="26"/>
  <c r="I116" i="26"/>
  <c r="I63" i="26"/>
  <c r="I41" i="26"/>
  <c r="I13" i="26"/>
  <c r="I106" i="26"/>
  <c r="I121" i="26"/>
  <c r="I5" i="26"/>
  <c r="I14" i="26"/>
  <c r="I18" i="26"/>
  <c r="I120" i="26"/>
  <c r="I20" i="26"/>
  <c r="I17" i="26"/>
  <c r="I64" i="26"/>
  <c r="I78" i="26"/>
  <c r="I34" i="26"/>
  <c r="I21" i="26"/>
  <c r="I118" i="26"/>
  <c r="I16" i="26"/>
  <c r="I122" i="26"/>
  <c r="I19" i="26"/>
  <c r="I85" i="26"/>
  <c r="I46" i="26"/>
  <c r="I28" i="26"/>
  <c r="I24" i="26"/>
  <c r="I51" i="26"/>
  <c r="I45" i="26"/>
  <c r="I81" i="26"/>
  <c r="I40" i="26"/>
  <c r="I72" i="26"/>
  <c r="I124" i="26"/>
  <c r="I42" i="26"/>
  <c r="I130" i="26"/>
  <c r="I126" i="26"/>
  <c r="I31" i="26"/>
  <c r="I26" i="26"/>
  <c r="I32" i="26"/>
  <c r="I58" i="26"/>
  <c r="I49" i="26"/>
  <c r="I112" i="26"/>
  <c r="I123" i="26"/>
  <c r="I132" i="26"/>
  <c r="I125" i="26"/>
  <c r="I54" i="26"/>
  <c r="I39" i="26"/>
  <c r="I103" i="26"/>
  <c r="I104" i="26"/>
  <c r="I36" i="26"/>
  <c r="I60" i="26"/>
  <c r="I62" i="26"/>
  <c r="I69" i="26"/>
  <c r="I99" i="26"/>
  <c r="I43" i="26"/>
  <c r="I44" i="26"/>
  <c r="I55" i="26"/>
  <c r="I50" i="26"/>
  <c r="I38" i="26"/>
  <c r="I128" i="26"/>
  <c r="I76" i="26"/>
  <c r="I61" i="26"/>
  <c r="I113" i="26"/>
  <c r="I73" i="26"/>
  <c r="I109" i="26"/>
  <c r="I117" i="26"/>
  <c r="I66" i="26"/>
  <c r="I83" i="26"/>
  <c r="I136" i="26"/>
  <c r="I86" i="26"/>
  <c r="I88" i="26"/>
  <c r="I89" i="26"/>
  <c r="I137" i="26"/>
  <c r="I105" i="26"/>
  <c r="I90" i="26"/>
  <c r="I91" i="26"/>
  <c r="I57" i="26"/>
  <c r="I71" i="26"/>
  <c r="I92" i="26"/>
  <c r="I70" i="26"/>
  <c r="I77" i="26"/>
  <c r="I53" i="26"/>
  <c r="I74" i="26"/>
  <c r="I79" i="26"/>
  <c r="I129" i="26"/>
  <c r="I82" i="26"/>
  <c r="I97" i="26"/>
  <c r="I134" i="26"/>
  <c r="I94" i="26"/>
  <c r="I101" i="26"/>
  <c r="I142" i="26"/>
  <c r="I110" i="26"/>
  <c r="I141" i="26"/>
  <c r="I96" i="26"/>
  <c r="I119" i="26"/>
  <c r="I143" i="26"/>
  <c r="I135" i="26"/>
  <c r="I133" i="26"/>
  <c r="I115" i="26"/>
  <c r="I139" i="26"/>
  <c r="I138" i="26"/>
  <c r="I140" i="26"/>
  <c r="I144" i="26"/>
  <c r="I3" i="26"/>
  <c r="H3" i="11"/>
  <c r="T3" i="29"/>
  <c r="T7" i="29" s="1"/>
  <c r="P7" i="29"/>
  <c r="Q7" i="29" s="1"/>
  <c r="P3" i="29"/>
  <c r="Q3" i="29" s="1"/>
  <c r="P4" i="29"/>
  <c r="Q4" i="29" s="1"/>
  <c r="P5" i="29"/>
  <c r="Q5" i="29" s="1"/>
  <c r="P2" i="29"/>
  <c r="Q2" i="29" s="1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P166" i="25"/>
  <c r="P167" i="25"/>
  <c r="P168" i="25"/>
  <c r="P169" i="25"/>
  <c r="P170" i="25"/>
  <c r="P171" i="25"/>
  <c r="P172" i="25"/>
  <c r="P173" i="25"/>
  <c r="P174" i="25"/>
  <c r="P175" i="25"/>
  <c r="P176" i="25"/>
  <c r="P177" i="25"/>
  <c r="P178" i="25"/>
  <c r="P179" i="25"/>
  <c r="P180" i="25"/>
  <c r="P181" i="25"/>
  <c r="P182" i="25"/>
  <c r="P183" i="25"/>
  <c r="P184" i="25"/>
  <c r="P185" i="25"/>
  <c r="P186" i="25"/>
  <c r="P187" i="25"/>
  <c r="P188" i="25"/>
  <c r="P189" i="25"/>
  <c r="P190" i="25"/>
  <c r="P191" i="25"/>
  <c r="P192" i="25"/>
  <c r="P193" i="25"/>
  <c r="P194" i="25"/>
  <c r="P195" i="25"/>
  <c r="P196" i="25"/>
  <c r="P197" i="25"/>
  <c r="P198" i="25"/>
  <c r="P199" i="25"/>
  <c r="P200" i="25"/>
  <c r="P201" i="25"/>
  <c r="P202" i="25"/>
  <c r="P203" i="25"/>
  <c r="P204" i="25"/>
  <c r="P205" i="25"/>
  <c r="P206" i="25"/>
  <c r="P207" i="25"/>
  <c r="P208" i="25"/>
  <c r="P209" i="25"/>
  <c r="P210" i="25"/>
  <c r="P211" i="25"/>
  <c r="P212" i="25"/>
  <c r="P213" i="25"/>
  <c r="P214" i="25"/>
  <c r="P215" i="25"/>
  <c r="P216" i="25"/>
  <c r="P217" i="25"/>
  <c r="P218" i="25"/>
  <c r="P219" i="25"/>
  <c r="P220" i="25"/>
  <c r="P221" i="25"/>
  <c r="P222" i="25"/>
  <c r="P223" i="25"/>
  <c r="P224" i="25"/>
  <c r="P225" i="25"/>
  <c r="P226" i="25"/>
  <c r="P227" i="25"/>
  <c r="P228" i="25"/>
  <c r="P229" i="25"/>
  <c r="P230" i="25"/>
  <c r="P231" i="25"/>
  <c r="P232" i="25"/>
  <c r="P233" i="25"/>
  <c r="P234" i="25"/>
  <c r="P235" i="25"/>
  <c r="P236" i="25"/>
  <c r="P2" i="25"/>
  <c r="E26" i="22"/>
  <c r="E28" i="22"/>
  <c r="E21" i="22"/>
  <c r="E31" i="22"/>
  <c r="E30" i="22"/>
  <c r="E27" i="22"/>
  <c r="E25" i="22"/>
  <c r="E23" i="22"/>
  <c r="E22" i="22"/>
  <c r="E20" i="22"/>
  <c r="E29" i="22"/>
  <c r="E19" i="22"/>
  <c r="C34" i="22"/>
  <c r="C35" i="22" s="1"/>
  <c r="C32" i="22"/>
  <c r="D26" i="22" s="1"/>
  <c r="E4" i="22"/>
  <c r="E5" i="22"/>
  <c r="E6" i="22"/>
  <c r="E7" i="22"/>
  <c r="E8" i="22"/>
  <c r="E9" i="22"/>
  <c r="E10" i="22"/>
  <c r="E11" i="22"/>
  <c r="E12" i="22"/>
  <c r="E13" i="22"/>
  <c r="E14" i="22"/>
  <c r="E15" i="22"/>
  <c r="E3" i="22"/>
  <c r="G6" i="15"/>
  <c r="G7" i="15"/>
  <c r="G8" i="15"/>
  <c r="G9" i="15"/>
  <c r="G10" i="15"/>
  <c r="G11" i="15"/>
  <c r="G12" i="15"/>
  <c r="G13" i="15"/>
  <c r="G14" i="15"/>
  <c r="G15" i="15"/>
  <c r="G5" i="15"/>
  <c r="R16" i="14"/>
  <c r="K16" i="14"/>
  <c r="L16" i="14"/>
  <c r="M16" i="14"/>
  <c r="N16" i="14"/>
  <c r="O16" i="14"/>
  <c r="J16" i="14"/>
  <c r="A129" i="2"/>
  <c r="D4" i="5" s="1"/>
  <c r="C130" i="2" a="1"/>
  <c r="C130" i="2" s="1"/>
  <c r="A130" i="2" s="1"/>
  <c r="C4" i="5" s="1"/>
  <c r="C113" i="1" a="1"/>
  <c r="C113" i="1" s="1"/>
  <c r="A113" i="1" s="1"/>
  <c r="C3" i="5" s="1"/>
  <c r="A112" i="1"/>
  <c r="D3" i="5" s="1"/>
  <c r="A239" i="4" a="1"/>
  <c r="A239" i="4" s="1"/>
  <c r="A238" i="4"/>
  <c r="L10" i="27"/>
  <c r="L13" i="27"/>
  <c r="L8" i="27"/>
  <c r="L9" i="27"/>
  <c r="L11" i="27"/>
  <c r="L6" i="27"/>
  <c r="L20" i="27"/>
  <c r="L16" i="27"/>
  <c r="L18" i="27"/>
  <c r="L15" i="27"/>
  <c r="L21" i="27"/>
  <c r="L4" i="27"/>
  <c r="L5" i="27"/>
  <c r="L12" i="27"/>
  <c r="L7" i="27"/>
  <c r="L17" i="27"/>
  <c r="L14" i="27"/>
  <c r="L19" i="27"/>
  <c r="J11" i="26" l="1"/>
  <c r="J146" i="26"/>
  <c r="I146" i="26"/>
  <c r="J12" i="26" s="1"/>
  <c r="Q6" i="29"/>
  <c r="T6" i="29"/>
  <c r="T8" i="29" s="1"/>
  <c r="D19" i="22"/>
  <c r="D25" i="22"/>
  <c r="D23" i="22"/>
  <c r="D21" i="22"/>
  <c r="D29" i="22"/>
  <c r="D22" i="22"/>
  <c r="D28" i="22"/>
  <c r="D20" i="22"/>
  <c r="D24" i="22"/>
  <c r="D31" i="22"/>
  <c r="D30" i="22"/>
  <c r="D27" i="22"/>
  <c r="J147" i="26" l="1"/>
  <c r="T9" i="29"/>
  <c r="R6" i="2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<sst xmlns="http://schemas.openxmlformats.org/spreadsheetml/2006/main" count="9011" uniqueCount="551">
  <si>
    <t>Product Code</t>
  </si>
  <si>
    <t>Product Name</t>
  </si>
  <si>
    <t>Department</t>
  </si>
  <si>
    <t>Supplier Name</t>
  </si>
  <si>
    <t>IE / Import</t>
  </si>
  <si>
    <t>Units 
per Case</t>
  </si>
  <si>
    <t>Cases 
per Pallet</t>
  </si>
  <si>
    <t>Packaging
Level</t>
  </si>
  <si>
    <t>Base 
Material</t>
  </si>
  <si>
    <t>Specific Material</t>
  </si>
  <si>
    <t>Packaging Type</t>
  </si>
  <si>
    <t>Own Brand
(Yes/No)</t>
  </si>
  <si>
    <t>Weight</t>
  </si>
  <si>
    <t>Unit of Measure
(g or kg)</t>
  </si>
  <si>
    <t>Number of Packaging Type</t>
  </si>
  <si>
    <t>Sweetcorn 326g</t>
  </si>
  <si>
    <t>CANNED VEG</t>
  </si>
  <si>
    <t>Excellence</t>
  </si>
  <si>
    <t>Domestic</t>
  </si>
  <si>
    <t>Primary</t>
  </si>
  <si>
    <t>Paper/Card</t>
  </si>
  <si>
    <t>Paper</t>
  </si>
  <si>
    <t>Label</t>
  </si>
  <si>
    <t>Yes</t>
  </si>
  <si>
    <t>g</t>
  </si>
  <si>
    <t>Steel</t>
  </si>
  <si>
    <t>Can</t>
  </si>
  <si>
    <t>Secondary</t>
  </si>
  <si>
    <t>Cardboard</t>
  </si>
  <si>
    <t>Box</t>
  </si>
  <si>
    <t>Plastic</t>
  </si>
  <si>
    <t>LDPE - Low-Density PolyEthylene</t>
  </si>
  <si>
    <t>Wrap</t>
  </si>
  <si>
    <t>Chopped Tomatoes 400g</t>
  </si>
  <si>
    <t>Peeled Tomatoes 400g</t>
  </si>
  <si>
    <t>Red Kidney Beans 400g</t>
  </si>
  <si>
    <t>Beans 420g</t>
  </si>
  <si>
    <t>Valeo Foods</t>
  </si>
  <si>
    <t>Tertiary</t>
  </si>
  <si>
    <t>Peas 420g</t>
  </si>
  <si>
    <t xml:space="preserve">Chick Peas 400g </t>
  </si>
  <si>
    <t>Plain Flour 2kg - Non Flashed</t>
  </si>
  <si>
    <t>FLOUR</t>
  </si>
  <si>
    <t>Bag</t>
  </si>
  <si>
    <t>Self Raising Flour 2kg - Non Flashed</t>
  </si>
  <si>
    <t>Wholemeal Flour 2kg - Non Flashed</t>
  </si>
  <si>
    <t>Firelighters 60's (New)</t>
  </si>
  <si>
    <t>FUELS</t>
  </si>
  <si>
    <t>Warehouse - Standard Brands</t>
  </si>
  <si>
    <t>Firelighters 30's (New)</t>
  </si>
  <si>
    <t>Firelog 700g</t>
  </si>
  <si>
    <t>Homestead Firelogs 700g - New Code</t>
  </si>
  <si>
    <t>Standard Brands</t>
  </si>
  <si>
    <t>HS Firelighters 30 New Pack</t>
  </si>
  <si>
    <t xml:space="preserve">Standard Brands </t>
  </si>
  <si>
    <t>HS Firelighters 60 New Pack</t>
  </si>
  <si>
    <t xml:space="preserve">HS Jumbo Extra Strong Refuse Sacks 8's </t>
  </si>
  <si>
    <t>Household</t>
  </si>
  <si>
    <t>Shabra Plastics &amp; Packaging Ltd</t>
  </si>
  <si>
    <t>Freezer Bags on Roll 12x15 (HOM8)</t>
  </si>
  <si>
    <t xml:space="preserve">Homestead Kitchen Foil 440mmx10M </t>
  </si>
  <si>
    <t>Core</t>
  </si>
  <si>
    <t>All Purpose Cloths 10's</t>
  </si>
  <si>
    <t>Boyne Valley</t>
  </si>
  <si>
    <t>Black Refuse Sacks on Roll 8's(HOM4A)</t>
  </si>
  <si>
    <t xml:space="preserve">Orange Juice 1ltr </t>
  </si>
  <si>
    <t>JUICE</t>
  </si>
  <si>
    <t>Mulrines</t>
  </si>
  <si>
    <t>Composite</t>
  </si>
  <si>
    <t>Composite Paper</t>
  </si>
  <si>
    <t>TetraPak</t>
  </si>
  <si>
    <t>Composite Plastic</t>
  </si>
  <si>
    <t>Composite Metal</t>
  </si>
  <si>
    <t>HDPE - High-Density PolyEthylene</t>
  </si>
  <si>
    <t>Cap</t>
  </si>
  <si>
    <t xml:space="preserve">Apple Juice 1ltr </t>
  </si>
  <si>
    <t>Cranberry Juice Reduced Sugar 1lt</t>
  </si>
  <si>
    <t>Spaghetti 500g</t>
  </si>
  <si>
    <t>PASTA</t>
  </si>
  <si>
    <t>Penne Pasta 500g</t>
  </si>
  <si>
    <t>Fusilli Pasta 500g</t>
  </si>
  <si>
    <t>Paws Beef Complete 2.5kg + 60% XF</t>
  </si>
  <si>
    <t>Paws Pet Food</t>
  </si>
  <si>
    <t>Irish Dog Food</t>
  </si>
  <si>
    <t>Paws Chicken Complete 2.5kg + 60% XF</t>
  </si>
  <si>
    <t xml:space="preserve">Paws Complete Dog Food 10kg </t>
  </si>
  <si>
    <t>1190/1180</t>
  </si>
  <si>
    <t>Paws Tins 400g</t>
  </si>
  <si>
    <t>Tray</t>
  </si>
  <si>
    <t>Comfort Toilet Tissue 4 Roll - €1.49(9127)</t>
  </si>
  <si>
    <t>TISSUE</t>
  </si>
  <si>
    <t>T&amp;R Interissue</t>
  </si>
  <si>
    <t>Comfort Toilet Tissue 16 Roll (7665)</t>
  </si>
  <si>
    <t>Luxury Soft Toilet Tissue 9Roll (7653)</t>
  </si>
  <si>
    <t>Luxury Soft Toilet Tissue 4 Roll €2 (7808)</t>
  </si>
  <si>
    <t>Cornflour 3kg</t>
  </si>
  <si>
    <t>Baking</t>
  </si>
  <si>
    <t>Plain Flour 25kg</t>
  </si>
  <si>
    <t>Bakers Flour 16kg</t>
  </si>
  <si>
    <t>Self-Raising Flour 25kg</t>
  </si>
  <si>
    <t>Plain Flour 16kg</t>
  </si>
  <si>
    <t>Wholemeal Flour 16kg</t>
  </si>
  <si>
    <t xml:space="preserve">8oz Single Wall Black Cup 50's </t>
  </si>
  <si>
    <t>Beverage</t>
  </si>
  <si>
    <t>Catering Disposables</t>
  </si>
  <si>
    <t>Product</t>
  </si>
  <si>
    <t>PP - PolyPropylene</t>
  </si>
  <si>
    <t>Cup</t>
  </si>
  <si>
    <t>8oz Lids 100's</t>
  </si>
  <si>
    <t>Lid</t>
  </si>
  <si>
    <t>12oz/16oz Lids (ND) 100's</t>
  </si>
  <si>
    <t xml:space="preserve">Plastic Flexi Pint Glasses 50's </t>
  </si>
  <si>
    <t xml:space="preserve">Plastic Flexi Half Pint Glasses 50's </t>
  </si>
  <si>
    <t>7oz White Plastic Cups 100's</t>
  </si>
  <si>
    <t>8oz Compostable Lids 100's</t>
  </si>
  <si>
    <t>12/16oz Compostable Lids 100's</t>
  </si>
  <si>
    <t>WHITE HAT COOKING FOIL 440MM X 90M</t>
  </si>
  <si>
    <t>Kitchen</t>
  </si>
  <si>
    <t>Western Plastics</t>
  </si>
  <si>
    <t xml:space="preserve">WHITE HAT BAKING PARCH 450MM X 50M </t>
  </si>
  <si>
    <t>Powder Free Vinyl Gloves Clear Med 100's</t>
  </si>
  <si>
    <t>Wood</t>
  </si>
  <si>
    <t>Pallets</t>
  </si>
  <si>
    <t>Heavy Duty Refuse Sacks on a roll 26"x44" - 2x25's (WH41)</t>
  </si>
  <si>
    <t>Shabra</t>
  </si>
  <si>
    <t>Powder Free Vinyl Gloves Clear Small 100's</t>
  </si>
  <si>
    <t>Powder Free Vinyl Gloves Clear Large 100's</t>
  </si>
  <si>
    <t>Powder Free Vinyl Gloves Clear X-Large 100's</t>
  </si>
  <si>
    <t>Powdered Vinyl Gloves Clear Med 100's</t>
  </si>
  <si>
    <t>Powdered Vinyl Gloves Clear Large 100's</t>
  </si>
  <si>
    <t>Powdered Vinyl Gloves Clear X-Large 100's</t>
  </si>
  <si>
    <t>Powdered Vinyl Gloves Blue Med 100's</t>
  </si>
  <si>
    <t>Powdered Vinyl Gloves Blue Large 100's</t>
  </si>
  <si>
    <t>Powdered Vinyl Gloves Blue X-Large 100's</t>
  </si>
  <si>
    <t>Large Refuse Sacks BOR 26x44 25s(WH40A)</t>
  </si>
  <si>
    <t>Cooking Oil 20lt</t>
  </si>
  <si>
    <t>Oil</t>
  </si>
  <si>
    <t>Natures Oil</t>
  </si>
  <si>
    <t>PET - PolyEthylene Terephthalate</t>
  </si>
  <si>
    <t>Curry Sauce 15lt</t>
  </si>
  <si>
    <t>Paste</t>
  </si>
  <si>
    <t>Bottle</t>
  </si>
  <si>
    <t>7" Bagasse Compostable Round Plate 50's</t>
  </si>
  <si>
    <t>Plates</t>
  </si>
  <si>
    <t>9" Bagasse Compostable Round Plate 50's</t>
  </si>
  <si>
    <t>Strawberry Jam 20grm</t>
  </si>
  <si>
    <t>Portions</t>
  </si>
  <si>
    <t>Tub</t>
  </si>
  <si>
    <t>Raspberry Jam 20grm</t>
  </si>
  <si>
    <t>Blackcurrant Jam 20grm</t>
  </si>
  <si>
    <t>Marmalade 20grm</t>
  </si>
  <si>
    <t>Assorted Jam 20grm</t>
  </si>
  <si>
    <t>Easi Cook Rice 5kg</t>
  </si>
  <si>
    <t>Rice</t>
  </si>
  <si>
    <t>Distilled Vinegar 5lt</t>
  </si>
  <si>
    <t>Sauces</t>
  </si>
  <si>
    <t>White Sugar Sachets 1000's</t>
  </si>
  <si>
    <t>Seasonings</t>
  </si>
  <si>
    <t>Gem Pack</t>
  </si>
  <si>
    <t>Sachet</t>
  </si>
  <si>
    <t>Brown Sugar Sachets 1000's</t>
  </si>
  <si>
    <t>White Sugar Sticks 1000's</t>
  </si>
  <si>
    <t>Brown Sugar Sticks 1000's</t>
  </si>
  <si>
    <t>Salt Sachets 1000's</t>
  </si>
  <si>
    <t>Pepper Sachets 1000's</t>
  </si>
  <si>
    <t>Chopped Tomatoes 2.55kg</t>
  </si>
  <si>
    <t>Tinned Veg</t>
  </si>
  <si>
    <t>Count</t>
  </si>
  <si>
    <t>Unique</t>
  </si>
  <si>
    <t>White Hat</t>
  </si>
  <si>
    <t>Homestead</t>
  </si>
  <si>
    <t>SKU</t>
  </si>
  <si>
    <t>Row Labels</t>
  </si>
  <si>
    <t>Grand Total</t>
  </si>
  <si>
    <t>Count of IE / Import</t>
  </si>
  <si>
    <t>Supplier</t>
  </si>
  <si>
    <t>Location</t>
  </si>
  <si>
    <t>D24 XW65</t>
  </si>
  <si>
    <t>D12 Y512</t>
  </si>
  <si>
    <t>D13 Y860</t>
  </si>
  <si>
    <t>F93 F223</t>
  </si>
  <si>
    <t>Donegal</t>
  </si>
  <si>
    <t>Dublin</t>
  </si>
  <si>
    <t>Sysco</t>
  </si>
  <si>
    <t>D15 W720</t>
  </si>
  <si>
    <t>D11 VP3F</t>
  </si>
  <si>
    <t>Product Description</t>
  </si>
  <si>
    <t>Pack</t>
  </si>
  <si>
    <t>Case Qty</t>
  </si>
  <si>
    <t>Total 2024</t>
  </si>
  <si>
    <t>Barrys Tea</t>
  </si>
  <si>
    <t xml:space="preserve">Traditional Tea Bags 80's  </t>
  </si>
  <si>
    <t>BIC</t>
  </si>
  <si>
    <t>Cigarette Lighters</t>
  </si>
  <si>
    <t>LI J26 SLV HOMEST 13 PBL 50 UK</t>
  </si>
  <si>
    <t>LI J25 SLV HOMEST 15 PBL 50 UK</t>
  </si>
  <si>
    <t>LI J38 SLV HOMESTEAD 50 PBL UK</t>
  </si>
  <si>
    <t>HOM SPNGE GRIP 24x6Pc</t>
  </si>
  <si>
    <t>HOM CLOTH ALL/PURPSE 10x10Pc</t>
  </si>
  <si>
    <t>HOM CSACKS CMPST140L 20x3Pc</t>
  </si>
  <si>
    <t>Excellence Ltd</t>
  </si>
  <si>
    <t>Canned Fruit</t>
  </si>
  <si>
    <t>HM111  HOMESTEAD FRUIT COCKTAIL IN LIGHT SYRUP 12X425GM</t>
  </si>
  <si>
    <t>425g</t>
  </si>
  <si>
    <t>HM112  HOMESTEAD PEACHES IN LIGHT SYRUP 12X410GM</t>
  </si>
  <si>
    <t>410g</t>
  </si>
  <si>
    <t>HM113A  HOMESTEAD PEAR HALVES IN LIGHT SYRUP 12X425GM</t>
  </si>
  <si>
    <t>Canned Veg</t>
  </si>
  <si>
    <t>HM114  HOMESTEAD PEELED TOMATOES IN JUICE 12X400GM</t>
  </si>
  <si>
    <t>400g</t>
  </si>
  <si>
    <t>HM115  HOMESTEAD CHOPPED TOMATOES 12X400GM</t>
  </si>
  <si>
    <t>HM118  HOMESTEAD RED KIDNEY BEANS IN BRINE 12X400GM</t>
  </si>
  <si>
    <t>HM119  HOMESTEAD PINEAPPLE SLICES IN LIGHT SYRUP 12X425GM</t>
  </si>
  <si>
    <t>HM150  HOMESTEAD SLICED CARROTS 12X340GM</t>
  </si>
  <si>
    <t>340g</t>
  </si>
  <si>
    <t>HM151  HOMESTEAD WHOLE BABY CARROTS 12X340GM</t>
  </si>
  <si>
    <t>HM152  HOMESTEAD WHOLE BABY CARROTS 12X680GM</t>
  </si>
  <si>
    <t>680g</t>
  </si>
  <si>
    <t>Jams / Marms</t>
  </si>
  <si>
    <t>HM161  HOMESTEAD HONEY SQUEEZY 12X340GM</t>
  </si>
  <si>
    <t>HM181  HOMESTEAD SLICED BEETROOT 12X340GM</t>
  </si>
  <si>
    <t>HM191  HOMESTEAD CHICK PEAS IN BRINE  12X400GRM</t>
  </si>
  <si>
    <t>HM412532  HOMESTEAD SWEETCORN 12X326GM</t>
  </si>
  <si>
    <t>326g</t>
  </si>
  <si>
    <t>HS5682  HOMESTEAD STRAWBERRY JAM 12X430 GRM</t>
  </si>
  <si>
    <t>430g</t>
  </si>
  <si>
    <t>HS5683  HOMESTEAD RASPBERRY JAM 12X430 GRM</t>
  </si>
  <si>
    <t>HS5684  HOMESTEAD BLACKCURRANT JAM 12X430 GRM</t>
  </si>
  <si>
    <t>HS5685  HOMESTEAD FINE CUT MARMALADE 12X430 GRM</t>
  </si>
  <si>
    <t>Canned Fish</t>
  </si>
  <si>
    <t>RU1010  HOMESTEAD TUNA CHUNKS IN BRINE (CARTON) 48X185GM</t>
  </si>
  <si>
    <t>185g</t>
  </si>
  <si>
    <t xml:space="preserve">Irish Dog Foods </t>
  </si>
  <si>
    <t xml:space="preserve">Paw Complete Beef &amp; Veg 10kg </t>
  </si>
  <si>
    <t>10kg</t>
  </si>
  <si>
    <t>Paws Complete Chicken 2.5kg + 60% XF (4kg)</t>
  </si>
  <si>
    <t>2.5kg</t>
  </si>
  <si>
    <t>Paws Complete Beef 2.5kg + 60% XF (4kg)</t>
  </si>
  <si>
    <t>Paws Premium Dog Beef Wet Food Cans</t>
  </si>
  <si>
    <t xml:space="preserve">Paws Premium Cat Chicken Wt Food Cans </t>
  </si>
  <si>
    <t>JDS Foods</t>
  </si>
  <si>
    <t>Homestead Baking 20x250g</t>
  </si>
  <si>
    <t>250g</t>
  </si>
  <si>
    <t>Juice</t>
  </si>
  <si>
    <t>Homestead Orange 12X1LT Gable Top</t>
  </si>
  <si>
    <t>1Ltr</t>
  </si>
  <si>
    <t>Homestead Apple 12X1LT Gable Top</t>
  </si>
  <si>
    <t>Homestead Cranberry 12X1LT Gable Top</t>
  </si>
  <si>
    <t>28X46X54 Homestead Wheelie B/liners (1285)</t>
  </si>
  <si>
    <t>Homestead Freezer Bags 12x15"  (1300)</t>
  </si>
  <si>
    <t>Homestead Kitchen Foil 440mmx10M (1250)</t>
  </si>
  <si>
    <t>Homestead 290mmx30M Cling Film (1255)</t>
  </si>
  <si>
    <t>Homestead Household  Gloves Large (1270)</t>
  </si>
  <si>
    <t>Pair</t>
  </si>
  <si>
    <t>Homestead Household Gloves Medium (1265)</t>
  </si>
  <si>
    <t xml:space="preserve"> HS 440X460mm Pedal Bin Liners 50's (10481)</t>
  </si>
  <si>
    <t>HS 610x865mm Tie Handle Swing Bin Liner 10161</t>
  </si>
  <si>
    <t>HS 380mmx10mtr/39gsm Baking Parchment 10482</t>
  </si>
  <si>
    <t>Homestead Clear Recycled Sacks 90 Ltrs</t>
  </si>
  <si>
    <t>Homestead 80Ltr Black refuse sacks 20's</t>
  </si>
  <si>
    <t>HS Jumbo Extra Strong Refuse Sacks 8's (1280)</t>
  </si>
  <si>
    <t>Fuels</t>
  </si>
  <si>
    <t>Homestead Firelighters 60's - New Codes</t>
  </si>
  <si>
    <t>Homestead Firelighters 30's - New Codes</t>
  </si>
  <si>
    <t>700g</t>
  </si>
  <si>
    <t>T&amp;R</t>
  </si>
  <si>
    <t>Tissue</t>
  </si>
  <si>
    <t>HOMESTEAD COMFORT TT 16ROLL X5</t>
  </si>
  <si>
    <t>16 Roll</t>
  </si>
  <si>
    <t>HOMESTEAD LUXURY SOFT TT 9ROLL X4</t>
  </si>
  <si>
    <t>9 Roll</t>
  </si>
  <si>
    <t>HOMESTEAD LUXURY SOFT 4R PAPER x10</t>
  </si>
  <si>
    <t>4 Roll</t>
  </si>
  <si>
    <t>HOMESTEAD ABSORB 2 ROLL PAPER x8</t>
  </si>
  <si>
    <t>2 Roll</t>
  </si>
  <si>
    <t>Homestead Mansize Tissue 100 X16</t>
  </si>
  <si>
    <t>Homestead Comfort 4 Roll X 10</t>
  </si>
  <si>
    <t>Valeo</t>
  </si>
  <si>
    <t>HOMESTEAD BEANS 24X420g NON FLASHED</t>
  </si>
  <si>
    <t>420g</t>
  </si>
  <si>
    <t>HOMESTEAD PEAS 24X420g NON FLASHED</t>
  </si>
  <si>
    <t>Pasta</t>
  </si>
  <si>
    <t>Homestead Fusilli 500g</t>
  </si>
  <si>
    <t>500g</t>
  </si>
  <si>
    <t>Homestead Penne 500g</t>
  </si>
  <si>
    <t>Homestead Spaghetti 500g</t>
  </si>
  <si>
    <t>HS Sunflower Oil 1Ltr</t>
  </si>
  <si>
    <t>HS Rapeseed Oil 1Ltr</t>
  </si>
  <si>
    <t>Flour</t>
  </si>
  <si>
    <t>HS Wholemeal Flr</t>
  </si>
  <si>
    <t>2kg</t>
  </si>
  <si>
    <t>HS Self Raising Flr</t>
  </si>
  <si>
    <t>HS Plain Flr</t>
  </si>
  <si>
    <t>Total Volume 2024</t>
  </si>
  <si>
    <t>White Hat 8oz compostable white lids (10 x 100's)</t>
  </si>
  <si>
    <t>White Hat 12/16oz compostable white lids (10 x 100's)</t>
  </si>
  <si>
    <t>White Hat 7oz white plastic cup (30 x 100's)</t>
  </si>
  <si>
    <t>White Hat 10.5 x 8" Bagasse Compostable Oval Plate (10x50's)</t>
  </si>
  <si>
    <t>White Hat 12/16oz CPLA Lid for Soup Container (10X50's)</t>
  </si>
  <si>
    <t>White Hat flexi half pint glass to rim (25x50's)</t>
  </si>
  <si>
    <t>White Hat flexi pint glass to rim (16x50's)</t>
  </si>
  <si>
    <t>White Hat LP blue vinyl glove MED (10x100)</t>
  </si>
  <si>
    <t>White Hat LP blue vinyl glove LRG (10x100)</t>
  </si>
  <si>
    <t>White Hat LP blue vinyl glove XL (10x100)</t>
  </si>
  <si>
    <t>White Hat LP clear vinyl gloves MED (10x100)</t>
  </si>
  <si>
    <t>White Hat LP clear vinyl gloves LRG (10x100)</t>
  </si>
  <si>
    <t>White Hat LP clear vinyl gloves XL (10x100)</t>
  </si>
  <si>
    <t>White Hat PF clear vinyl gloves MED(10x100)</t>
  </si>
  <si>
    <t>White Hat PF clear vinyl gloves SML (10x100)</t>
  </si>
  <si>
    <t>White Hat PF clear vinyl gloves LRG(10x100)</t>
  </si>
  <si>
    <t>White Hat PF clear vinyl gloves XL (10x100)</t>
  </si>
  <si>
    <t>Cutlery</t>
  </si>
  <si>
    <t>White Hat Wooden Teaspoon (10x100's)</t>
  </si>
  <si>
    <t>White Hat Wooden Dessert Spoon (10x100's)</t>
  </si>
  <si>
    <t>White Hat Wooden Chip Fork (10x1000's)</t>
  </si>
  <si>
    <t>90mm White Hot Cup Lids (12/16oz) (10x100)</t>
  </si>
  <si>
    <t>80mm White 8oz hot cup lid (10x100`s)</t>
  </si>
  <si>
    <t>Essity</t>
  </si>
  <si>
    <t>Napkins</t>
  </si>
  <si>
    <t>Whitehat LunchNap C&amp;C 2P 4F Burg 200/10</t>
  </si>
  <si>
    <t>Whitehat LunchNap C&amp;C 2P 4F Champ 200/10</t>
  </si>
  <si>
    <t>Whitehat LunchNap C&amp;C 2P 4F MBlue 200/10</t>
  </si>
  <si>
    <t>Whitehat LunchNap C&amp;C 2P4F Green 200/10</t>
  </si>
  <si>
    <t>Whitehat LunchNap C&amp;C 2P 4F Red 200/10</t>
  </si>
  <si>
    <t>Whitehat LunchNap C&amp;C 2P 4F White 200/10</t>
  </si>
  <si>
    <t>Whitehat DinNap C&amp;C  2P 4F Burg 150/12</t>
  </si>
  <si>
    <t>Whitehat DinNap C&amp;C 2P 4F Champ 150/12</t>
  </si>
  <si>
    <t>Whitehat DinNap C&amp;C 2P 4F MBlue 150/12</t>
  </si>
  <si>
    <t>Whitehat DinNap C&amp;C 2P 4F MPGreen 150/12</t>
  </si>
  <si>
    <t>Whitehat DinNap C&amp;C 2P 4F White 150/12</t>
  </si>
  <si>
    <t>Whitehat DinNap C&amp;C 2P 4F Red 150/12</t>
  </si>
  <si>
    <t>WHITE HAT STRAWBERRY JAM 96X20GM</t>
  </si>
  <si>
    <t>WHITE HAT MARMALADE 96X20GM</t>
  </si>
  <si>
    <t>WHITE HAT TOMATO KETCHUP 2X4.5KG</t>
  </si>
  <si>
    <t>WHITE HAT PICKLED SLICED BEETROOT 2X2.3KG</t>
  </si>
  <si>
    <t>WHITE HAT ASSORTED JAM 96X20GM</t>
  </si>
  <si>
    <t>WHITE HAT RASPBERRY JAM 96X20GM</t>
  </si>
  <si>
    <t>WHITE HAT BLACKCURRANT JAM 96X20GM</t>
  </si>
  <si>
    <t xml:space="preserve">Gem Pack Foods </t>
  </si>
  <si>
    <t>White Hat White Sugar Sachets</t>
  </si>
  <si>
    <t>White Hat White Sugar Sticks</t>
  </si>
  <si>
    <t>White Hat Brown Sugar Sachets</t>
  </si>
  <si>
    <t>White Hat Brown Sugar Sticks</t>
  </si>
  <si>
    <t>White Hat White Salt Sachets</t>
  </si>
  <si>
    <t>White Hat White Pepper Sachets</t>
  </si>
  <si>
    <t>Healy's Honey Ltd</t>
  </si>
  <si>
    <t>White Hat Honey 6 x1kg</t>
  </si>
  <si>
    <t>1kg</t>
  </si>
  <si>
    <t>White Hat Pure Honey Bucket 3.7kg</t>
  </si>
  <si>
    <t>3.7kg</t>
  </si>
  <si>
    <t>White Hat Perfect For Baking 6x2kg</t>
  </si>
  <si>
    <t>White Hat Cooking Oil 20 litre</t>
  </si>
  <si>
    <t>20ltr</t>
  </si>
  <si>
    <t>Food Containers</t>
  </si>
  <si>
    <t>WH Small Foil Cont.&amp; Lids 4x5 No.2  25s</t>
  </si>
  <si>
    <t>WH Foil Cont Lids 4x8 No.6 25s</t>
  </si>
  <si>
    <t>WH Foil Rec Cont &amp; Lids 9x9x1.5  10s</t>
  </si>
  <si>
    <t>WH Foil Plate 9   25s</t>
  </si>
  <si>
    <t>WH 8 Ribbed Deep Flan Dish  25s</t>
  </si>
  <si>
    <t>WH Half Gastro Foil Containers &amp; Lids - 10's</t>
  </si>
  <si>
    <t>WH 500ml Clr Microwave Cont &amp; Lids Packed 50s</t>
  </si>
  <si>
    <t>WH 26x44 Large Refuse Sacks Bor 2x25s</t>
  </si>
  <si>
    <t>2 x 25</t>
  </si>
  <si>
    <t>WH 26x44 Large Refuse Sacks Bor 25s</t>
  </si>
  <si>
    <t>WH 26X44 HEAVY DUTY Refuse Sacks BOR 25s</t>
  </si>
  <si>
    <t>WH 26X44 HEAVY DUTY  Refuse Sacks BOR 25s</t>
  </si>
  <si>
    <t>WH Super Heavy/wt. 29x46 Refuse Sacks L/ft 50</t>
  </si>
  <si>
    <t>WH 26x44 Clear Recycled Refuse Sacks 25</t>
  </si>
  <si>
    <t>WHITE HAT PLAIN FLOUR 25KG</t>
  </si>
  <si>
    <t>25kg</t>
  </si>
  <si>
    <t>WHITE HAT BAKERS FLOUR 16KG</t>
  </si>
  <si>
    <t>16kg</t>
  </si>
  <si>
    <t>WHITE HAT SR FLOUR 25KG</t>
  </si>
  <si>
    <t>WHITE HAT CHPD TOMATOES 2.55kg</t>
  </si>
  <si>
    <t>2.55kg</t>
  </si>
  <si>
    <t>WHITE HAT EASI COOK RICE 5KG</t>
  </si>
  <si>
    <t>5kg</t>
  </si>
  <si>
    <t>WHITE HAT VINEGAR 4 X 5 LTRS</t>
  </si>
  <si>
    <t>5ltr</t>
  </si>
  <si>
    <t>WHITE HAT CURRY SAUCE MIX 15L</t>
  </si>
  <si>
    <t>15L</t>
  </si>
  <si>
    <t>Whitehat Plain Flour 16KG</t>
  </si>
  <si>
    <t xml:space="preserve">WHITE HAT CLING FILM 300MM X 300M </t>
  </si>
  <si>
    <t xml:space="preserve">WHITE HAT CLING FILM 450M X 300M </t>
  </si>
  <si>
    <t>Description</t>
  </si>
  <si>
    <t>W91 DRX5</t>
  </si>
  <si>
    <t>Nass, Co. Kildare</t>
  </si>
  <si>
    <t>A75 T384</t>
  </si>
  <si>
    <t>Monaghan</t>
  </si>
  <si>
    <t>A91 XT59</t>
  </si>
  <si>
    <t>C. Louth</t>
  </si>
  <si>
    <t>D12 Y008</t>
  </si>
  <si>
    <t>Dublin and Galway</t>
  </si>
  <si>
    <t>A92 YC85</t>
  </si>
  <si>
    <t>Co. Meath</t>
  </si>
  <si>
    <t>Co. Kilkenny</t>
  </si>
  <si>
    <t>Detail</t>
  </si>
  <si>
    <t>Killamonan, Co. Dublin</t>
  </si>
  <si>
    <t>R95 W867</t>
  </si>
  <si>
    <t>Tennant &amp; Ruttle, Sales, Marketing, Distribution, Ireland. | Tennant &amp; Ruttle</t>
  </si>
  <si>
    <t>D24 EKW3</t>
  </si>
  <si>
    <t>(blank)</t>
  </si>
  <si>
    <t>Sum of Total Volume 2024</t>
  </si>
  <si>
    <t>Volume (2024)</t>
  </si>
  <si>
    <t>T12 EV83</t>
  </si>
  <si>
    <t>Sustainability</t>
  </si>
  <si>
    <t>Sustainability : Our approach | BIC Corporate</t>
  </si>
  <si>
    <t>Cork</t>
  </si>
  <si>
    <t>No</t>
  </si>
  <si>
    <t>Reports &amp; Publications - Barry Group</t>
  </si>
  <si>
    <t>D15 X232</t>
  </si>
  <si>
    <t>About our Sustainability work | Essity</t>
  </si>
  <si>
    <t>P31 XR02</t>
  </si>
  <si>
    <t>T23 RH24</t>
  </si>
  <si>
    <t>RSPO</t>
  </si>
  <si>
    <t>RSPO Certification - Roundtable on Sustainable Palm Oil (RSPO)</t>
  </si>
  <si>
    <t>REPAK and Organic Trust</t>
  </si>
  <si>
    <t>Sustainability – Irish Dog foods</t>
  </si>
  <si>
    <t>Carbon Reduction - Mulrines</t>
  </si>
  <si>
    <t>Sustainability | Shabra Plastics &amp; Recycling Ltd</t>
  </si>
  <si>
    <t>A75 T384, A75 AE22</t>
  </si>
  <si>
    <t>Zip Fires | Sustainability</t>
  </si>
  <si>
    <t>About us - Our Business - Valeo Foods Group</t>
  </si>
  <si>
    <t>Valeo-Foods-2025-Sustainability-Report-Singles.pdf</t>
  </si>
  <si>
    <t>Report/Strategy doc</t>
  </si>
  <si>
    <t>Partial</t>
  </si>
  <si>
    <t>(All)</t>
  </si>
  <si>
    <t>Count of Specific Material</t>
  </si>
  <si>
    <t>Column Labels</t>
  </si>
  <si>
    <t>Specific Materials/Base material</t>
  </si>
  <si>
    <t>Totals</t>
  </si>
  <si>
    <t>Sum of Weight</t>
  </si>
  <si>
    <t>KG</t>
  </si>
  <si>
    <t>Specific Material(s)</t>
  </si>
  <si>
    <t>Count of Packaging Type</t>
  </si>
  <si>
    <t>Base Material</t>
  </si>
  <si>
    <t>Base Count</t>
  </si>
  <si>
    <t>Specific Material count</t>
  </si>
  <si>
    <t>Transparency Sheet for Repak Member Statistical Return</t>
  </si>
  <si>
    <t>Date:</t>
  </si>
  <si>
    <t>12/08/2024 13:36</t>
  </si>
  <si>
    <t>Member No.:</t>
  </si>
  <si>
    <t>000944</t>
  </si>
  <si>
    <t>Member Name:</t>
  </si>
  <si>
    <t>Stonehouse Marketing Limited</t>
  </si>
  <si>
    <t>Stats Year:</t>
  </si>
  <si>
    <t>2024</t>
  </si>
  <si>
    <t>Half:</t>
  </si>
  <si>
    <t>1</t>
  </si>
  <si>
    <t>Fee Year:</t>
  </si>
  <si>
    <t>Section 1 Inputs</t>
  </si>
  <si>
    <t>Section 1 Stages:</t>
  </si>
  <si>
    <t>Total Tonnes (1.1 &amp; 1.2):</t>
  </si>
  <si>
    <t>Total Tonnes: (Including Reuse Packaging)</t>
  </si>
  <si>
    <t>Reuse packaging (1.1 &amp; 1.2):</t>
  </si>
  <si>
    <t>Reuse Packaging (Official Loop) Suitable for Continued Reuse</t>
  </si>
  <si>
    <t>Removed from your brand (1.1):</t>
  </si>
  <si>
    <t xml:space="preserve">Total Tonnes removed from your branded products excluding reuse </t>
  </si>
  <si>
    <t>packaging suitable for continued reuse</t>
  </si>
  <si>
    <t>1.1 Irish Sourced Input Packaging</t>
  </si>
  <si>
    <t>Material Type</t>
  </si>
  <si>
    <t>Stage</t>
  </si>
  <si>
    <t>Tonnes</t>
  </si>
  <si>
    <t>Rate</t>
  </si>
  <si>
    <t>Fees</t>
  </si>
  <si>
    <t>No rows</t>
  </si>
  <si>
    <t>1.2 Imported Input Packaging</t>
  </si>
  <si>
    <t>1.3 Internal Packaging Waste Management</t>
  </si>
  <si>
    <t>2.1 Irish Sourced Output Packaging Supplied in ROI</t>
  </si>
  <si>
    <t>Recycled Paper/Cardboard</t>
  </si>
  <si>
    <t>Brandholder</t>
  </si>
  <si>
    <t>€28.54</t>
  </si>
  <si>
    <t>€2,244.56</t>
  </si>
  <si>
    <t>Distributor</t>
  </si>
  <si>
    <t>€0.00</t>
  </si>
  <si>
    <t>Recycled Steel (Non-DRS)</t>
  </si>
  <si>
    <t>€64.82</t>
  </si>
  <si>
    <t>€884.34</t>
  </si>
  <si>
    <t>Retailer</t>
  </si>
  <si>
    <t>€2.00</t>
  </si>
  <si>
    <t>€0.25</t>
  </si>
  <si>
    <t>Recycled Rigid Plastic</t>
  </si>
  <si>
    <t>€142.03</t>
  </si>
  <si>
    <t>€81.67</t>
  </si>
  <si>
    <t>Recycled Flexible Plastic</t>
  </si>
  <si>
    <t>€1,494.01</t>
  </si>
  <si>
    <t>Non-Recycled Plastic</t>
  </si>
  <si>
    <t>€446.07</t>
  </si>
  <si>
    <t>€1,295.83</t>
  </si>
  <si>
    <t>Plastic Bottles (Non-DRS)</t>
  </si>
  <si>
    <t>Plastic Non-Beverage Bottles</t>
  </si>
  <si>
    <t>€101.41</t>
  </si>
  <si>
    <t>Recycled Wood</t>
  </si>
  <si>
    <t>€14.47</t>
  </si>
  <si>
    <t>€57.69</t>
  </si>
  <si>
    <t>€7.97</t>
  </si>
  <si>
    <t>2.3 Imported Output Packaging Supplied in ROI</t>
  </si>
  <si>
    <t>* Upward Resonance Applied - a rolled up obligation to cover the share of the fee for activities prior to importing.</t>
  </si>
  <si>
    <t>2.2+2.4 All Exports</t>
  </si>
  <si>
    <t>Summary</t>
  </si>
  <si>
    <t>Fees (€)</t>
  </si>
  <si>
    <t>Plastic Participation</t>
  </si>
  <si>
    <t>Plastic Bottles Participation</t>
  </si>
  <si>
    <t>18/02/2025 14:39</t>
  </si>
  <si>
    <t>2</t>
  </si>
  <si>
    <t>€2,786.10</t>
  </si>
  <si>
    <t>€1,078.73</t>
  </si>
  <si>
    <t>€0.26</t>
  </si>
  <si>
    <t>€80.25</t>
  </si>
  <si>
    <t>€1,886.44</t>
  </si>
  <si>
    <t>€606.61</t>
  </si>
  <si>
    <t>€27.49</t>
  </si>
  <si>
    <t>€3.80</t>
  </si>
  <si>
    <t>Recycled Composite</t>
  </si>
  <si>
    <t>€170.15</t>
  </si>
  <si>
    <t>Paper/Cardboard element</t>
  </si>
  <si>
    <t>Aluminium element</t>
  </si>
  <si>
    <t>Plastic element</t>
  </si>
  <si>
    <t>H1 (€)</t>
  </si>
  <si>
    <t>H2 (€)</t>
  </si>
  <si>
    <t>Full year</t>
  </si>
  <si>
    <t>% of whole</t>
  </si>
  <si>
    <t>Total</t>
  </si>
  <si>
    <t>Plastic % value</t>
  </si>
  <si>
    <t>Glass</t>
  </si>
  <si>
    <t>Metals</t>
  </si>
  <si>
    <t>By 2030</t>
  </si>
  <si>
    <t>Volumes</t>
  </si>
  <si>
    <t>Sum of Case Qty</t>
  </si>
  <si>
    <t>Count of Pack</t>
  </si>
  <si>
    <t>Pack count</t>
  </si>
  <si>
    <t>Cse Qty</t>
  </si>
  <si>
    <t>2024 Vol</t>
  </si>
  <si>
    <t>Unit Weight</t>
  </si>
  <si>
    <t>Annual Volume</t>
  </si>
  <si>
    <t>Pallet weight (kg)</t>
  </si>
  <si>
    <t>Volume</t>
  </si>
  <si>
    <t>Total weight (empy pallet) g</t>
  </si>
  <si>
    <t>Total System weight</t>
  </si>
  <si>
    <t>Total weight (empy pallet) kg</t>
  </si>
  <si>
    <t>Ratio</t>
  </si>
  <si>
    <t>% Ratio</t>
  </si>
  <si>
    <t>Ltr</t>
  </si>
  <si>
    <t>kg</t>
  </si>
  <si>
    <t xml:space="preserve"> Roll</t>
  </si>
  <si>
    <t>ltr</t>
  </si>
  <si>
    <t>.kg</t>
  </si>
  <si>
    <t xml:space="preserve"> x </t>
  </si>
  <si>
    <t>L</t>
  </si>
  <si>
    <t>Pac</t>
  </si>
  <si>
    <t>Annual Unit Volume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</si>
</sst>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.00000_-;\-* #,##0.00000_-;_-* &quot;-&quot;??_-;_-@_-"/>
    <numFmt numFmtId="165" formatCode="[$-11809]&quot;€&quot;#,##0.00;\-&quot;€&quot;#,##0.00"/>
    <numFmt numFmtId="166" formatCode="_-[$€-2]\ * #,##0.00_-;\-[$€-2]\ * #,##0.00_-;_-[$€-2]\ * &quot;-&quot;??_-;_-@_-"/>
    <numFmt numFmtId="167" formatCode="0.000%"/>
    <numFmt numFmtId="168" formatCode="0.0"/>
    <numFmt numFmtId="169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sz val="11.95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Segoe UI"/>
      <family val="2"/>
    </font>
    <font>
      <b/>
      <u/>
      <sz val="10"/>
      <color indexed="8"/>
      <name val="Calibri"/>
      <family val="2"/>
    </font>
    <font>
      <sz val="10"/>
      <color indexed="9"/>
      <name val="Calibri"/>
      <family val="2"/>
    </font>
    <font>
      <b/>
      <i/>
      <sz val="11"/>
      <color indexed="8"/>
      <name val="Calibri"/>
      <family val="2"/>
    </font>
    <font>
      <b/>
      <sz val="11.95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Segoe UI"/>
      <family val="2"/>
    </font>
    <font>
      <b/>
      <u/>
      <sz val="10"/>
      <color indexed="8"/>
      <name val="Calibri"/>
      <family val="2"/>
    </font>
    <font>
      <sz val="10"/>
      <color indexed="9"/>
      <name val="Calibri"/>
      <family val="2"/>
    </font>
    <font>
      <b/>
      <i/>
      <sz val="11"/>
      <color indexed="8"/>
      <name val="Calibri"/>
      <family val="2"/>
    </font>
    <font>
      <b/>
      <sz val="13"/>
      <color theme="3"/>
      <name val="Calibri"/>
      <family val="2"/>
      <scheme val="minor"/>
    </font>
    <font>
      <sz val="13"/>
      <color rgb="FF000000"/>
      <name val="Garamond"/>
      <family val="1"/>
    </font>
    <font>
      <sz val="13"/>
      <color rgb="FF000000"/>
      <name val="Garamond"/>
      <family val="1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11"/>
      </patternFill>
    </fill>
    <fill>
      <patternFill patternType="solid">
        <fgColor theme="0"/>
        <bgColor indexed="64"/>
      </patternFill>
    </fill>
    <fill>
      <patternFill patternType="solid">
        <fgColor indexed="49"/>
      </patternFill>
    </fill>
    <fill>
      <patternFill patternType="solid">
        <fgColor indexed="11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EFCE9"/>
        <bgColor indexed="64"/>
      </patternFill>
    </fill>
    <fill>
      <patternFill patternType="solid">
        <fgColor theme="4" tint="0.79998168889431442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">
    <xf numFmtId="0" fontId="0" fillId="0" borderId="0"/>
    <xf numFmtId="0" fontId="2" fillId="0" borderId="0"/>
    <xf numFmtId="43" fontId="6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4" fontId="12" fillId="12" borderId="7" applyNumberFormat="0" applyProtection="0">
      <alignment horizontal="left" vertical="center" indent="1"/>
    </xf>
    <xf numFmtId="0" fontId="13" fillId="0" borderId="0" applyNumberFormat="0" applyFill="0" applyBorder="0" applyAlignment="0" applyProtection="0"/>
    <xf numFmtId="0" fontId="14" fillId="0" borderId="27" applyNumberFormat="0" applyFill="0" applyAlignment="0" applyProtection="0"/>
    <xf numFmtId="0" fontId="15" fillId="0" borderId="0"/>
    <xf numFmtId="9" fontId="6" fillId="0" borderId="0" applyFont="0" applyFill="0" applyBorder="0" applyAlignment="0" applyProtection="0"/>
    <xf numFmtId="0" fontId="28" fillId="0" borderId="32" applyNumberFormat="0" applyFill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</cellStyleXfs>
  <cellXfs count="160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" applyFont="1" applyAlignment="1">
      <alignment horizontal="right"/>
    </xf>
    <xf numFmtId="0" fontId="3" fillId="0" borderId="0" xfId="1" applyFont="1"/>
    <xf numFmtId="0" fontId="3" fillId="0" borderId="0" xfId="0" applyFont="1"/>
    <xf numFmtId="41" fontId="3" fillId="0" borderId="0" xfId="0" applyNumberFormat="1" applyFont="1"/>
    <xf numFmtId="0" fontId="4" fillId="0" borderId="0" xfId="0" applyFont="1"/>
    <xf numFmtId="41" fontId="3" fillId="0" borderId="0" xfId="1" applyNumberFormat="1" applyFont="1"/>
    <xf numFmtId="41" fontId="3" fillId="0" borderId="0" xfId="0" applyNumberFormat="1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5" fillId="8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2" fillId="0" borderId="0" xfId="1"/>
    <xf numFmtId="0" fontId="3" fillId="0" borderId="2" xfId="1" applyFont="1" applyBorder="1" applyAlignment="1">
      <alignment horizontal="center" vertical="center"/>
    </xf>
    <xf numFmtId="0" fontId="3" fillId="11" borderId="2" xfId="1" applyFont="1" applyFill="1" applyBorder="1" applyAlignment="1">
      <alignment horizontal="left" vertical="center"/>
    </xf>
    <xf numFmtId="3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11" xfId="0" applyBorder="1"/>
    <xf numFmtId="0" fontId="6" fillId="6" borderId="11" xfId="7" applyBorder="1"/>
    <xf numFmtId="0" fontId="6" fillId="7" borderId="11" xfId="8" applyBorder="1"/>
    <xf numFmtId="0" fontId="0" fillId="0" borderId="14" xfId="0" applyBorder="1"/>
    <xf numFmtId="0" fontId="8" fillId="3" borderId="11" xfId="4" applyBorder="1"/>
    <xf numFmtId="0" fontId="13" fillId="0" borderId="0" xfId="10"/>
    <xf numFmtId="0" fontId="8" fillId="3" borderId="0" xfId="4" applyBorder="1"/>
    <xf numFmtId="0" fontId="8" fillId="3" borderId="12" xfId="4" applyBorder="1"/>
    <xf numFmtId="0" fontId="0" fillId="0" borderId="13" xfId="0" applyBorder="1"/>
    <xf numFmtId="0" fontId="0" fillId="0" borderId="0" xfId="0" applyAlignment="1">
      <alignment horizontal="left" indent="1"/>
    </xf>
    <xf numFmtId="43" fontId="0" fillId="0" borderId="0" xfId="0" applyNumberFormat="1"/>
    <xf numFmtId="0" fontId="7" fillId="2" borderId="0" xfId="3"/>
    <xf numFmtId="0" fontId="6" fillId="5" borderId="11" xfId="6" applyBorder="1"/>
    <xf numFmtId="0" fontId="7" fillId="2" borderId="0" xfId="3" applyBorder="1"/>
    <xf numFmtId="0" fontId="7" fillId="2" borderId="12" xfId="3" applyBorder="1"/>
    <xf numFmtId="0" fontId="9" fillId="4" borderId="0" xfId="5" applyBorder="1"/>
    <xf numFmtId="0" fontId="9" fillId="4" borderId="12" xfId="5" applyBorder="1"/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 wrapText="1"/>
    </xf>
    <xf numFmtId="0" fontId="9" fillId="4" borderId="14" xfId="5" applyBorder="1"/>
    <xf numFmtId="0" fontId="9" fillId="4" borderId="15" xfId="5" applyBorder="1"/>
    <xf numFmtId="0" fontId="9" fillId="4" borderId="0" xfId="5"/>
    <xf numFmtId="0" fontId="8" fillId="3" borderId="0" xfId="4"/>
    <xf numFmtId="0" fontId="7" fillId="2" borderId="0" xfId="3" applyAlignment="1">
      <alignment horizontal="left"/>
    </xf>
    <xf numFmtId="0" fontId="9" fillId="4" borderId="0" xfId="5" applyAlignment="1">
      <alignment horizontal="left"/>
    </xf>
    <xf numFmtId="0" fontId="8" fillId="3" borderId="0" xfId="4" applyAlignment="1">
      <alignment horizontal="left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4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8" xfId="0" applyBorder="1"/>
    <xf numFmtId="0" fontId="5" fillId="0" borderId="20" xfId="0" applyFont="1" applyBorder="1"/>
    <xf numFmtId="0" fontId="5" fillId="0" borderId="22" xfId="0" applyFont="1" applyBorder="1"/>
    <xf numFmtId="0" fontId="5" fillId="0" borderId="20" xfId="0" applyFont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0" fillId="0" borderId="25" xfId="0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43" fontId="0" fillId="0" borderId="0" xfId="2" applyFont="1"/>
    <xf numFmtId="164" fontId="0" fillId="0" borderId="0" xfId="2" applyNumberFormat="1" applyFont="1"/>
    <xf numFmtId="0" fontId="15" fillId="0" borderId="0" xfId="12"/>
    <xf numFmtId="0" fontId="17" fillId="0" borderId="0" xfId="12" applyFont="1" applyAlignment="1" applyProtection="1">
      <alignment horizontal="left" vertical="top" wrapText="1" readingOrder="1"/>
      <protection locked="0"/>
    </xf>
    <xf numFmtId="0" fontId="18" fillId="0" borderId="0" xfId="12" applyFont="1" applyAlignment="1" applyProtection="1">
      <alignment horizontal="left" vertical="top" wrapText="1" readingOrder="1"/>
      <protection locked="0"/>
    </xf>
    <xf numFmtId="0" fontId="17" fillId="13" borderId="28" xfId="12" applyFont="1" applyFill="1" applyBorder="1" applyAlignment="1" applyProtection="1">
      <alignment horizontal="center" vertical="top" wrapText="1" readingOrder="1"/>
      <protection locked="0"/>
    </xf>
    <xf numFmtId="0" fontId="17" fillId="0" borderId="28" xfId="12" applyFont="1" applyBorder="1" applyAlignment="1" applyProtection="1">
      <alignment horizontal="right" vertical="center" wrapText="1" readingOrder="1"/>
      <protection locked="0"/>
    </xf>
    <xf numFmtId="0" fontId="21" fillId="0" borderId="31" xfId="12" applyFont="1" applyBorder="1" applyAlignment="1" applyProtection="1">
      <alignment vertical="top" wrapText="1" readingOrder="1"/>
      <protection locked="0"/>
    </xf>
    <xf numFmtId="0" fontId="17" fillId="14" borderId="31" xfId="12" applyFont="1" applyFill="1" applyBorder="1" applyAlignment="1" applyProtection="1">
      <alignment horizontal="center" vertical="top" wrapText="1" readingOrder="1"/>
      <protection locked="0"/>
    </xf>
    <xf numFmtId="0" fontId="17" fillId="0" borderId="0" xfId="12" applyFont="1" applyAlignment="1" applyProtection="1">
      <alignment horizontal="right" vertical="center" wrapText="1" readingOrder="1"/>
      <protection locked="0"/>
    </xf>
    <xf numFmtId="165" fontId="17" fillId="0" borderId="28" xfId="12" applyNumberFormat="1" applyFont="1" applyBorder="1" applyAlignment="1" applyProtection="1">
      <alignment horizontal="right" vertical="top" wrapText="1" readingOrder="1"/>
      <protection locked="0"/>
    </xf>
    <xf numFmtId="165" fontId="19" fillId="0" borderId="28" xfId="12" applyNumberFormat="1" applyFont="1" applyBorder="1" applyAlignment="1" applyProtection="1">
      <alignment horizontal="right" vertical="top" wrapText="1" readingOrder="1"/>
      <protection locked="0"/>
    </xf>
    <xf numFmtId="0" fontId="23" fillId="0" borderId="0" xfId="12" applyFont="1" applyAlignment="1" applyProtection="1">
      <alignment horizontal="left" vertical="top" wrapText="1" readingOrder="1"/>
      <protection locked="0"/>
    </xf>
    <xf numFmtId="0" fontId="24" fillId="0" borderId="0" xfId="12" applyFont="1" applyAlignment="1" applyProtection="1">
      <alignment horizontal="left" vertical="top" wrapText="1" readingOrder="1"/>
      <protection locked="0"/>
    </xf>
    <xf numFmtId="0" fontId="23" fillId="13" borderId="28" xfId="12" applyFont="1" applyFill="1" applyBorder="1" applyAlignment="1" applyProtection="1">
      <alignment horizontal="center" vertical="top" wrapText="1" readingOrder="1"/>
      <protection locked="0"/>
    </xf>
    <xf numFmtId="0" fontId="23" fillId="0" borderId="28" xfId="12" applyFont="1" applyBorder="1" applyAlignment="1" applyProtection="1">
      <alignment horizontal="right" vertical="center" wrapText="1" readingOrder="1"/>
      <protection locked="0"/>
    </xf>
    <xf numFmtId="0" fontId="27" fillId="0" borderId="31" xfId="12" applyFont="1" applyBorder="1" applyAlignment="1" applyProtection="1">
      <alignment vertical="top" wrapText="1" readingOrder="1"/>
      <protection locked="0"/>
    </xf>
    <xf numFmtId="0" fontId="23" fillId="14" borderId="31" xfId="12" applyFont="1" applyFill="1" applyBorder="1" applyAlignment="1" applyProtection="1">
      <alignment horizontal="center" vertical="top" wrapText="1" readingOrder="1"/>
      <protection locked="0"/>
    </xf>
    <xf numFmtId="0" fontId="23" fillId="0" borderId="0" xfId="12" applyFont="1" applyAlignment="1" applyProtection="1">
      <alignment horizontal="right" vertical="center" wrapText="1" readingOrder="1"/>
      <protection locked="0"/>
    </xf>
    <xf numFmtId="165" fontId="23" fillId="0" borderId="28" xfId="12" applyNumberFormat="1" applyFont="1" applyBorder="1" applyAlignment="1" applyProtection="1">
      <alignment horizontal="right" vertical="top" wrapText="1" readingOrder="1"/>
      <protection locked="0"/>
    </xf>
    <xf numFmtId="165" fontId="25" fillId="0" borderId="28" xfId="12" applyNumberFormat="1" applyFont="1" applyBorder="1" applyAlignment="1" applyProtection="1">
      <alignment horizontal="right" vertical="top" wrapText="1" readingOrder="1"/>
      <protection locked="0"/>
    </xf>
    <xf numFmtId="0" fontId="14" fillId="0" borderId="27" xfId="11"/>
    <xf numFmtId="166" fontId="0" fillId="0" borderId="0" xfId="0" applyNumberFormat="1"/>
    <xf numFmtId="0" fontId="14" fillId="0" borderId="0" xfId="11" applyFill="1" applyBorder="1"/>
    <xf numFmtId="9" fontId="0" fillId="0" borderId="0" xfId="13" applyFont="1"/>
    <xf numFmtId="167" fontId="0" fillId="0" borderId="0" xfId="13" applyNumberFormat="1" applyFont="1"/>
    <xf numFmtId="0" fontId="6" fillId="15" borderId="0" xfId="15"/>
    <xf numFmtId="0" fontId="29" fillId="16" borderId="0" xfId="0" applyFont="1" applyFill="1" applyAlignment="1">
      <alignment horizontal="center" vertical="center" wrapText="1"/>
    </xf>
    <xf numFmtId="9" fontId="30" fillId="16" borderId="0" xfId="0" applyNumberFormat="1" applyFont="1" applyFill="1" applyAlignment="1">
      <alignment horizontal="center" vertical="center" wrapText="1"/>
    </xf>
    <xf numFmtId="0" fontId="29" fillId="17" borderId="0" xfId="0" applyFont="1" applyFill="1" applyAlignment="1">
      <alignment horizontal="center" vertical="center" wrapText="1"/>
    </xf>
    <xf numFmtId="9" fontId="30" fillId="17" borderId="0" xfId="0" applyNumberFormat="1" applyFont="1" applyFill="1" applyAlignment="1">
      <alignment horizontal="center" vertical="center" wrapText="1"/>
    </xf>
    <xf numFmtId="0" fontId="28" fillId="0" borderId="32" xfId="14"/>
    <xf numFmtId="1" fontId="7" fillId="2" borderId="0" xfId="3" applyNumberFormat="1"/>
    <xf numFmtId="0" fontId="7" fillId="2" borderId="0" xfId="3" applyAlignment="1">
      <alignment wrapText="1"/>
    </xf>
    <xf numFmtId="0" fontId="7" fillId="2" borderId="0" xfId="3" applyAlignment="1">
      <alignment horizontal="center" wrapText="1"/>
    </xf>
    <xf numFmtId="168" fontId="0" fillId="0" borderId="0" xfId="0" applyNumberFormat="1"/>
    <xf numFmtId="41" fontId="7" fillId="2" borderId="0" xfId="3" applyNumberFormat="1" applyAlignment="1">
      <alignment horizontal="right" vertical="center"/>
    </xf>
    <xf numFmtId="3" fontId="7" fillId="2" borderId="2" xfId="3" applyNumberFormat="1" applyBorder="1" applyAlignment="1">
      <alignment horizontal="center" vertical="center"/>
    </xf>
    <xf numFmtId="41" fontId="7" fillId="2" borderId="33" xfId="3" applyNumberFormat="1" applyBorder="1" applyAlignment="1">
      <alignment horizontal="right" vertical="center"/>
    </xf>
    <xf numFmtId="41" fontId="7" fillId="2" borderId="0" xfId="3" applyNumberFormat="1"/>
    <xf numFmtId="43" fontId="7" fillId="2" borderId="0" xfId="3" applyNumberFormat="1"/>
    <xf numFmtId="1" fontId="6" fillId="18" borderId="0" xfId="16" applyNumberFormat="1"/>
    <xf numFmtId="0" fontId="6" fillId="18" borderId="0" xfId="16"/>
    <xf numFmtId="0" fontId="6" fillId="18" borderId="0" xfId="16" applyAlignment="1">
      <alignment wrapText="1"/>
    </xf>
    <xf numFmtId="0" fontId="6" fillId="18" borderId="0" xfId="16" applyAlignment="1">
      <alignment horizontal="center"/>
    </xf>
    <xf numFmtId="41" fontId="6" fillId="18" borderId="0" xfId="16" applyNumberFormat="1" applyAlignment="1">
      <alignment vertical="center"/>
    </xf>
    <xf numFmtId="41" fontId="6" fillId="18" borderId="0" xfId="16" applyNumberFormat="1" applyAlignment="1">
      <alignment horizontal="left" vertical="center" indent="2"/>
    </xf>
    <xf numFmtId="0" fontId="3" fillId="11" borderId="2" xfId="0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23" fillId="0" borderId="28" xfId="12" applyFont="1" applyBorder="1" applyAlignment="1" applyProtection="1">
      <alignment vertical="top" wrapText="1" readingOrder="1"/>
      <protection locked="0"/>
    </xf>
    <xf numFmtId="0" fontId="15" fillId="0" borderId="30" xfId="12" applyBorder="1" applyAlignment="1" applyProtection="1">
      <alignment vertical="top" wrapText="1"/>
      <protection locked="0"/>
    </xf>
    <xf numFmtId="0" fontId="22" fillId="0" borderId="0" xfId="12" applyFont="1" applyAlignment="1" applyProtection="1">
      <alignment vertical="top" wrapText="1" readingOrder="1"/>
      <protection locked="0"/>
    </xf>
    <xf numFmtId="0" fontId="15" fillId="0" borderId="0" xfId="12"/>
    <xf numFmtId="0" fontId="23" fillId="13" borderId="28" xfId="12" applyFont="1" applyFill="1" applyBorder="1" applyAlignment="1" applyProtection="1">
      <alignment horizontal="center" vertical="top" wrapText="1" readingOrder="1"/>
      <protection locked="0"/>
    </xf>
    <xf numFmtId="0" fontId="23" fillId="0" borderId="0" xfId="12" applyFont="1" applyAlignment="1" applyProtection="1">
      <alignment vertical="top" wrapText="1" readingOrder="1"/>
      <protection locked="0"/>
    </xf>
    <xf numFmtId="0" fontId="26" fillId="0" borderId="0" xfId="12" applyFont="1" applyAlignment="1" applyProtection="1">
      <alignment vertical="top" wrapText="1" readingOrder="1"/>
      <protection locked="0"/>
    </xf>
    <xf numFmtId="0" fontId="23" fillId="0" borderId="0" xfId="12" applyFont="1" applyAlignment="1" applyProtection="1">
      <alignment horizontal="left" vertical="top" wrapText="1" readingOrder="1"/>
      <protection locked="0"/>
    </xf>
    <xf numFmtId="0" fontId="25" fillId="0" borderId="0" xfId="12" applyFont="1" applyAlignment="1" applyProtection="1">
      <alignment vertical="top" wrapText="1" readingOrder="1"/>
      <protection locked="0"/>
    </xf>
    <xf numFmtId="0" fontId="23" fillId="0" borderId="28" xfId="12" applyFont="1" applyBorder="1" applyAlignment="1" applyProtection="1">
      <alignment vertical="center" wrapText="1" readingOrder="1"/>
      <protection locked="0"/>
    </xf>
    <xf numFmtId="0" fontId="15" fillId="0" borderId="29" xfId="12" applyBorder="1" applyAlignment="1" applyProtection="1">
      <alignment vertical="top" wrapText="1"/>
      <protection locked="0"/>
    </xf>
    <xf numFmtId="0" fontId="23" fillId="0" borderId="28" xfId="12" applyFont="1" applyBorder="1" applyAlignment="1" applyProtection="1">
      <alignment horizontal="right" vertical="center" wrapText="1" readingOrder="1"/>
      <protection locked="0"/>
    </xf>
    <xf numFmtId="0" fontId="27" fillId="0" borderId="28" xfId="12" applyFont="1" applyBorder="1" applyAlignment="1" applyProtection="1">
      <alignment vertical="top" wrapText="1" readingOrder="1"/>
      <protection locked="0"/>
    </xf>
    <xf numFmtId="0" fontId="17" fillId="0" borderId="28" xfId="12" applyFont="1" applyBorder="1" applyAlignment="1" applyProtection="1">
      <alignment vertical="top" wrapText="1" readingOrder="1"/>
      <protection locked="0"/>
    </xf>
    <xf numFmtId="0" fontId="16" fillId="0" borderId="0" xfId="12" applyFont="1" applyAlignment="1" applyProtection="1">
      <alignment vertical="top" wrapText="1" readingOrder="1"/>
      <protection locked="0"/>
    </xf>
    <xf numFmtId="0" fontId="17" fillId="13" borderId="28" xfId="12" applyFont="1" applyFill="1" applyBorder="1" applyAlignment="1" applyProtection="1">
      <alignment horizontal="center" vertical="top" wrapText="1" readingOrder="1"/>
      <protection locked="0"/>
    </xf>
    <xf numFmtId="0" fontId="17" fillId="0" borderId="0" xfId="12" applyFont="1" applyAlignment="1" applyProtection="1">
      <alignment vertical="top" wrapText="1" readingOrder="1"/>
      <protection locked="0"/>
    </xf>
    <xf numFmtId="0" fontId="20" fillId="0" borderId="0" xfId="12" applyFont="1" applyAlignment="1" applyProtection="1">
      <alignment vertical="top" wrapText="1" readingOrder="1"/>
      <protection locked="0"/>
    </xf>
    <xf numFmtId="0" fontId="17" fillId="0" borderId="0" xfId="12" applyFont="1" applyAlignment="1" applyProtection="1">
      <alignment horizontal="left" vertical="top" wrapText="1" readingOrder="1"/>
      <protection locked="0"/>
    </xf>
    <xf numFmtId="0" fontId="19" fillId="0" borderId="0" xfId="12" applyFont="1" applyAlignment="1" applyProtection="1">
      <alignment vertical="top" wrapText="1" readingOrder="1"/>
      <protection locked="0"/>
    </xf>
    <xf numFmtId="0" fontId="17" fillId="0" borderId="28" xfId="12" applyFont="1" applyBorder="1" applyAlignment="1" applyProtection="1">
      <alignment vertical="center" wrapText="1" readingOrder="1"/>
      <protection locked="0"/>
    </xf>
    <xf numFmtId="0" fontId="17" fillId="0" borderId="28" xfId="12" applyFont="1" applyBorder="1" applyAlignment="1" applyProtection="1">
      <alignment horizontal="right" vertical="center" wrapText="1" readingOrder="1"/>
      <protection locked="0"/>
    </xf>
    <xf numFmtId="0" fontId="21" fillId="0" borderId="28" xfId="12" applyFont="1" applyBorder="1" applyAlignment="1" applyProtection="1">
      <alignment vertical="top" wrapText="1" readingOrder="1"/>
      <protection locked="0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9" borderId="2" xfId="1" applyFont="1" applyFill="1" applyBorder="1" applyAlignment="1">
      <alignment horizontal="center" vertical="center" wrapText="1"/>
    </xf>
    <xf numFmtId="0" fontId="11" fillId="9" borderId="6" xfId="1" applyFont="1" applyFill="1" applyBorder="1" applyAlignment="1">
      <alignment horizontal="center" vertical="center" wrapText="1"/>
    </xf>
    <xf numFmtId="0" fontId="11" fillId="9" borderId="5" xfId="1" applyFont="1" applyFill="1" applyBorder="1" applyAlignment="1">
      <alignment horizontal="center" vertical="center" wrapText="1"/>
    </xf>
    <xf numFmtId="0" fontId="11" fillId="9" borderId="2" xfId="1" applyFont="1" applyFill="1" applyBorder="1" applyAlignment="1">
      <alignment horizontal="left" vertical="center" wrapText="1"/>
    </xf>
  </cellXfs>
  <cellStyles count="17">
    <cellStyle name="20% - Accent1" xfId="16" builtinId="30"/>
    <cellStyle name="40% - Accent3" xfId="6" builtinId="39"/>
    <cellStyle name="40% - Accent5" xfId="7" builtinId="47"/>
    <cellStyle name="40% - Accent6" xfId="8" builtinId="51"/>
    <cellStyle name="60% - Accent1" xfId="15" builtinId="32"/>
    <cellStyle name="Bad" xfId="4" builtinId="27"/>
    <cellStyle name="Comma" xfId="2" builtinId="3"/>
    <cellStyle name="Good" xfId="3" builtinId="26"/>
    <cellStyle name="Heading 1" xfId="11" builtinId="16"/>
    <cellStyle name="Heading 2" xfId="14" builtinId="17"/>
    <cellStyle name="Hyperlink" xfId="10" builtinId="8"/>
    <cellStyle name="Neutral" xfId="5" builtinId="28"/>
    <cellStyle name="Normal" xfId="0" builtinId="0"/>
    <cellStyle name="Normal 2" xfId="12" xr:uid="{6C1C4BE1-8E41-4DAF-A402-A68DB124347A}"/>
    <cellStyle name="Normal 2 2 2" xfId="1" xr:uid="{5E033647-C980-4A75-94A0-0607A25B30E6}"/>
    <cellStyle name="Percent" xfId="13" builtinId="5"/>
    <cellStyle name="SAPBEXstdItem" xfId="9" xr:uid="{F08A816A-083E-491C-AAEE-7BED00231195}"/>
  </cellStyles>
  <dxfs count="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Stonehouse</a:t>
            </a:r>
            <a:r>
              <a:rPr lang="en-IE" baseline="0"/>
              <a:t> REPAK H1/H2, 2024 values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'REPAK Summary'!$C$2</c:f>
              <c:strCache>
                <c:ptCount val="1"/>
                <c:pt idx="0">
                  <c:v>H1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'REPAK Summary'!$B$3:$B$15</c:f>
              <c:strCache>
                <c:ptCount val="13"/>
                <c:pt idx="0">
                  <c:v>Recycled Paper/Cardboard</c:v>
                </c:pt>
                <c:pt idx="1">
                  <c:v>Recycled Flexible Plastic</c:v>
                </c:pt>
                <c:pt idx="2">
                  <c:v>Non-Recycled Plastic</c:v>
                </c:pt>
                <c:pt idx="3">
                  <c:v>Recycled Steel (Non-DRS)</c:v>
                </c:pt>
                <c:pt idx="4">
                  <c:v>Plastic Non-Beverage Bottles</c:v>
                </c:pt>
                <c:pt idx="5">
                  <c:v>Recycled Rigid Plastic</c:v>
                </c:pt>
                <c:pt idx="6">
                  <c:v>Recycled Wood</c:v>
                </c:pt>
                <c:pt idx="7">
                  <c:v>Plastic Participation</c:v>
                </c:pt>
                <c:pt idx="8">
                  <c:v>Recycled Composite</c:v>
                </c:pt>
                <c:pt idx="9">
                  <c:v>Aluminium element</c:v>
                </c:pt>
                <c:pt idx="10">
                  <c:v>Paper/Cardboard element</c:v>
                </c:pt>
                <c:pt idx="11">
                  <c:v>Plastic Bottles Participation</c:v>
                </c:pt>
                <c:pt idx="12">
                  <c:v>Plastic element</c:v>
                </c:pt>
              </c:strCache>
            </c:strRef>
          </c:cat>
          <c:val>
            <c:numRef>
              <c:f>'REPAK Summary'!$C$3:$C$15</c:f>
              <c:numCache>
                <c:formatCode>_-[$€-2]\ * #,##0.00_-;\-[$€-2]\ * #,##0.00_-;_-[$€-2]\ * "-"??_-;_-@_-</c:formatCode>
                <c:ptCount val="13"/>
                <c:pt idx="0">
                  <c:v>2244.56</c:v>
                </c:pt>
                <c:pt idx="1">
                  <c:v>1494.01</c:v>
                </c:pt>
                <c:pt idx="2">
                  <c:v>1295.83</c:v>
                </c:pt>
                <c:pt idx="3">
                  <c:v>884.34</c:v>
                </c:pt>
                <c:pt idx="4">
                  <c:v>101.41</c:v>
                </c:pt>
                <c:pt idx="5">
                  <c:v>81.67</c:v>
                </c:pt>
                <c:pt idx="6">
                  <c:v>65.66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5-4DA3-AE5B-7A763C6CA7D6}"/>
            </c:ext>
          </c:extLst>
        </c:ser>
        <c:ser>
          <c:idx val="1"/>
          <c:order val="1"/>
          <c:tx>
            <c:strRef>
              <c:f>'REPAK Summary'!$D$2</c:f>
              <c:strCache>
                <c:ptCount val="1"/>
                <c:pt idx="0">
                  <c:v>H2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'REPAK Summary'!$B$3:$B$15</c:f>
              <c:strCache>
                <c:ptCount val="13"/>
                <c:pt idx="0">
                  <c:v>Recycled Paper/Cardboard</c:v>
                </c:pt>
                <c:pt idx="1">
                  <c:v>Recycled Flexible Plastic</c:v>
                </c:pt>
                <c:pt idx="2">
                  <c:v>Non-Recycled Plastic</c:v>
                </c:pt>
                <c:pt idx="3">
                  <c:v>Recycled Steel (Non-DRS)</c:v>
                </c:pt>
                <c:pt idx="4">
                  <c:v>Plastic Non-Beverage Bottles</c:v>
                </c:pt>
                <c:pt idx="5">
                  <c:v>Recycled Rigid Plastic</c:v>
                </c:pt>
                <c:pt idx="6">
                  <c:v>Recycled Wood</c:v>
                </c:pt>
                <c:pt idx="7">
                  <c:v>Plastic Participation</c:v>
                </c:pt>
                <c:pt idx="8">
                  <c:v>Recycled Composite</c:v>
                </c:pt>
                <c:pt idx="9">
                  <c:v>Aluminium element</c:v>
                </c:pt>
                <c:pt idx="10">
                  <c:v>Paper/Cardboard element</c:v>
                </c:pt>
                <c:pt idx="11">
                  <c:v>Plastic Bottles Participation</c:v>
                </c:pt>
                <c:pt idx="12">
                  <c:v>Plastic element</c:v>
                </c:pt>
              </c:strCache>
            </c:strRef>
          </c:cat>
          <c:val>
            <c:numRef>
              <c:f>'REPAK Summary'!$D$3:$D$15</c:f>
              <c:numCache>
                <c:formatCode>_-[$€-2]\ * #,##0.00_-;\-[$€-2]\ * #,##0.00_-;_-[$€-2]\ * "-"??_-;_-@_-</c:formatCode>
                <c:ptCount val="13"/>
                <c:pt idx="0">
                  <c:v>2786.1</c:v>
                </c:pt>
                <c:pt idx="1">
                  <c:v>1886.44</c:v>
                </c:pt>
                <c:pt idx="2">
                  <c:v>0</c:v>
                </c:pt>
                <c:pt idx="3">
                  <c:v>1078.73</c:v>
                </c:pt>
                <c:pt idx="4">
                  <c:v>606.61</c:v>
                </c:pt>
                <c:pt idx="5">
                  <c:v>80.25</c:v>
                </c:pt>
                <c:pt idx="6">
                  <c:v>31.29</c:v>
                </c:pt>
                <c:pt idx="7">
                  <c:v>0.26</c:v>
                </c:pt>
                <c:pt idx="8">
                  <c:v>170.15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5-4DA3-AE5B-7A763C6C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576063"/>
        <c:axId val="1961579423"/>
      </c:barChart>
      <c:catAx>
        <c:axId val="19615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79423"/>
        <c:crosses val="autoZero"/>
        <c:auto val="1"/>
        <c:lblAlgn val="ctr"/>
        <c:lblOffset val="100"/>
        <c:noMultiLvlLbl val="0"/>
      </c:catAx>
      <c:valAx>
        <c:axId val="19615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76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Stonehouse REPAK Full year 2024</a:t>
            </a:r>
            <a:r>
              <a:rPr lang="en-IE" baseline="0"/>
              <a:t> values (€)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'REPAK Summary'!$B$19</c:f>
              <c:strCache>
                <c:ptCount val="1"/>
                <c:pt idx="0">
                  <c:v>Recycled Paper/Cardboard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Summary'!$C$19</c:f>
              <c:numCache>
                <c:formatCode>_-[$€-2]\ * #,##0.00_-;\-[$€-2]\ * #,##0.00_-;_-[$€-2]\ * "-"??_-;_-@_-</c:formatCode>
                <c:ptCount val="1"/>
                <c:pt idx="0">
                  <c:v>5030.66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1-4C02-BB17-523C0E2BA3F0}"/>
            </c:ext>
          </c:extLst>
        </c:ser>
        <c:ser>
          <c:idx val="1"/>
          <c:order val="1"/>
          <c:tx>
            <c:strRef>
              <c:f>'REPAK Summary'!$B$20</c:f>
              <c:strCache>
                <c:ptCount val="1"/>
                <c:pt idx="0">
                  <c:v>Recycled Flexible Plastic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Summary'!$C$20</c:f>
              <c:numCache>
                <c:formatCode>_-[$€-2]\ * #,##0.00_-;\-[$€-2]\ * #,##0.00_-;_-[$€-2]\ * "-"??_-;_-@_-</c:formatCode>
                <c:ptCount val="1"/>
                <c:pt idx="0">
                  <c:v>3380.45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1-4C02-BB17-523C0E2BA3F0}"/>
            </c:ext>
          </c:extLst>
        </c:ser>
        <c:ser>
          <c:idx val="2"/>
          <c:order val="2"/>
          <c:tx>
            <c:strRef>
              <c:f>'REPAK Summary'!$B$21</c:f>
              <c:strCache>
                <c:ptCount val="1"/>
                <c:pt idx="0">
                  <c:v>Recycled Steel (Non-DRS)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Summary'!$C$21</c:f>
              <c:numCache>
                <c:formatCode>_-[$€-2]\ * #,##0.00_-;\-[$€-2]\ * #,##0.00_-;_-[$€-2]\ * "-"??_-;_-@_-</c:formatCode>
                <c:ptCount val="1"/>
                <c:pt idx="0">
                  <c:v>1963.0700000000002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1-4C02-BB17-523C0E2BA3F0}"/>
            </c:ext>
          </c:extLst>
        </c:ser>
        <c:ser>
          <c:idx val="3"/>
          <c:order val="3"/>
          <c:tx>
            <c:strRef>
              <c:f>'REPAK Summary'!$B$22</c:f>
              <c:strCache>
                <c:ptCount val="1"/>
                <c:pt idx="0">
                  <c:v>Non-Recycled Plastic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Summary'!$C$22</c:f>
              <c:numCache>
                <c:formatCode>_-[$€-2]\ * #,##0.00_-;\-[$€-2]\ * #,##0.00_-;_-[$€-2]\ * "-"??_-;_-@_-</c:formatCode>
                <c:ptCount val="1"/>
                <c:pt idx="0">
                  <c:v>1295.83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1-4C02-BB17-523C0E2BA3F0}"/>
            </c:ext>
          </c:extLst>
        </c:ser>
        <c:ser>
          <c:idx val="4"/>
          <c:order val="4"/>
          <c:tx>
            <c:strRef>
              <c:f>'REPAK Summary'!$B$23</c:f>
              <c:strCache>
                <c:ptCount val="1"/>
                <c:pt idx="0">
                  <c:v>Plastic Non-Beverage Bottles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Summary'!$C$23</c:f>
              <c:numCache>
                <c:formatCode>_-[$€-2]\ * #,##0.00_-;\-[$€-2]\ * #,##0.00_-;_-[$€-2]\ * "-"??_-;_-@_-</c:formatCode>
                <c:ptCount val="1"/>
                <c:pt idx="0">
                  <c:v>708.02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1-4C02-BB17-523C0E2BA3F0}"/>
            </c:ext>
          </c:extLst>
        </c:ser>
        <c:ser>
          <c:idx val="5"/>
          <c:order val="5"/>
          <c:tx>
            <c:strRef>
              <c:f>'REPAK Summary'!$B$24</c:f>
              <c:strCache>
                <c:ptCount val="1"/>
                <c:pt idx="0">
                  <c:v>Recycled Composite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Summary'!$C$24</c:f>
              <c:numCache>
                <c:formatCode>_-[$€-2]\ * #,##0.00_-;\-[$€-2]\ * #,##0.00_-;_-[$€-2]\ * "-"??_-;_-@_-</c:formatCode>
                <c:ptCount val="1"/>
                <c:pt idx="0">
                  <c:v>170.15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91-4C02-BB17-523C0E2BA3F0}"/>
            </c:ext>
          </c:extLst>
        </c:ser>
        <c:ser>
          <c:idx val="6"/>
          <c:order val="6"/>
          <c:tx>
            <c:strRef>
              <c:f>'REPAK Summary'!$B$25</c:f>
              <c:strCache>
                <c:ptCount val="1"/>
                <c:pt idx="0">
                  <c:v>Recycled Rigid Plastic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Summary'!$C$25</c:f>
              <c:numCache>
                <c:formatCode>_-[$€-2]\ * #,##0.00_-;\-[$€-2]\ * #,##0.00_-;_-[$€-2]\ * "-"??_-;_-@_-</c:formatCode>
                <c:ptCount val="1"/>
                <c:pt idx="0">
                  <c:v>161.92000000000002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1-4C02-BB17-523C0E2BA3F0}"/>
            </c:ext>
          </c:extLst>
        </c:ser>
        <c:ser>
          <c:idx val="7"/>
          <c:order val="7"/>
          <c:tx>
            <c:strRef>
              <c:f>'REPAK Summary'!$B$26</c:f>
              <c:strCache>
                <c:ptCount val="1"/>
                <c:pt idx="0">
                  <c:v>Recycled 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Summary'!$C$26</c:f>
              <c:numCache>
                <c:formatCode>_-[$€-2]\ * #,##0.00_-;\-[$€-2]\ * #,##0.00_-;_-[$€-2]\ * "-"??_-;_-@_-</c:formatCode>
                <c:ptCount val="1"/>
                <c:pt idx="0">
                  <c:v>96.949999999999989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91-4C02-BB17-523C0E2BA3F0}"/>
            </c:ext>
          </c:extLst>
        </c:ser>
        <c:ser>
          <c:idx val="8"/>
          <c:order val="8"/>
          <c:tx>
            <c:strRef>
              <c:f>'REPAK Summary'!$B$27</c:f>
              <c:strCache>
                <c:ptCount val="1"/>
                <c:pt idx="0">
                  <c:v>Plastic Participation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Summary'!$C$27</c:f>
              <c:numCache>
                <c:formatCode>_-[$€-2]\ * #,##0.00_-;\-[$€-2]\ * #,##0.00_-;_-[$€-2]\ * "-"??_-;_-@_-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91-4C02-BB17-523C0E2BA3F0}"/>
            </c:ext>
          </c:extLst>
        </c:ser>
        <c:ser>
          <c:idx val="9"/>
          <c:order val="9"/>
          <c:tx>
            <c:strRef>
              <c:f>'REPAK Summary'!$B$28</c:f>
              <c:strCache>
                <c:ptCount val="1"/>
                <c:pt idx="0">
                  <c:v>Aluminium element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Summary'!$C$28</c:f>
              <c:numCache>
                <c:formatCode>_-[$€-2]\ * #,##0.00_-;\-[$€-2]\ * #,##0.00_-;_-[$€-2]\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91-4C02-BB17-523C0E2BA3F0}"/>
            </c:ext>
          </c:extLst>
        </c:ser>
        <c:ser>
          <c:idx val="10"/>
          <c:order val="10"/>
          <c:tx>
            <c:strRef>
              <c:f>'REPAK Summary'!$B$29</c:f>
              <c:strCache>
                <c:ptCount val="1"/>
                <c:pt idx="0">
                  <c:v>Paper/Cardboard element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Summary'!$C$29</c:f>
              <c:numCache>
                <c:formatCode>_-[$€-2]\ * #,##0.00_-;\-[$€-2]\ * #,##0.00_-;_-[$€-2]\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91-4C02-BB17-523C0E2BA3F0}"/>
            </c:ext>
          </c:extLst>
        </c:ser>
        <c:ser>
          <c:idx val="11"/>
          <c:order val="11"/>
          <c:tx>
            <c:strRef>
              <c:f>'REPAK Summary'!$B$30</c:f>
              <c:strCache>
                <c:ptCount val="1"/>
                <c:pt idx="0">
                  <c:v>Plastic Bottles Participation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Summary'!$C$30</c:f>
              <c:numCache>
                <c:formatCode>_-[$€-2]\ * #,##0.00_-;\-[$€-2]\ * #,##0.00_-;_-[$€-2]\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91-4C02-BB17-523C0E2BA3F0}"/>
            </c:ext>
          </c:extLst>
        </c:ser>
        <c:ser>
          <c:idx val="12"/>
          <c:order val="12"/>
          <c:tx>
            <c:strRef>
              <c:f>'REPAK Summary'!$B$31</c:f>
              <c:strCache>
                <c:ptCount val="1"/>
                <c:pt idx="0">
                  <c:v>Plastic element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cat>
          <c:val>
            <c:numRef>
              <c:f>'REPAK Summary'!$C$31</c:f>
              <c:numCache>
                <c:formatCode>_-[$€-2]\ * #,##0.00_-;\-[$€-2]\ * #,##0.00_-;_-[$€-2]\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91-4C02-BB17-523C0E2BA3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30814959"/>
        <c:axId val="630825999"/>
      </c:barChart>
      <c:catAx>
        <c:axId val="63081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25999"/>
        <c:crosses val="autoZero"/>
        <c:auto val="1"/>
        <c:lblAlgn val="ctr"/>
        <c:lblOffset val="100"/>
        <c:noMultiLvlLbl val="0"/>
      </c:catAx>
      <c:valAx>
        <c:axId val="63082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1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Stonehouse REPAK </a:t>
            </a:r>
          </a:p>
          <a:p>
            <a:pPr>
              <a:defRPr/>
            </a:pPr>
            <a:r>
              <a:rPr lang="en-I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year 2024 values (%)</a:t>
            </a:r>
          </a:p>
        </c:rich>
      </c:tx>
      <c:layout>
        <c:manualLayout>
          <c:xMode val="edge"/>
          <c:yMode val="edge"/>
          <c:x val="0.62461989378796234"/>
          <c:y val="2.652785405031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'REPAK Summary'!$C$18</c:f>
              <c:strCache>
                <c:ptCount val="1"/>
                <c:pt idx="0">
                  <c:v>Full 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8-45AA-9735-EF595EE75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8-45AA-9735-EF595EE75F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8-45AA-9735-EF595EE75F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98-45AA-9735-EF595EE75F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98-45AA-9735-EF595EE75F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98-45AA-9735-EF595EE75F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98-45AA-9735-EF595EE75F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98-45AA-9735-EF595EE75F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98-45AA-9735-EF595EE75F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98-45AA-9735-EF595EE75F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98-45AA-9735-EF595EE75F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798-45AA-9735-EF595EE75FB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798-45AA-9735-EF595EE75F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'REPAK Summary'!$B$19:$B$31</c:f>
              <c:strCache>
                <c:ptCount val="13"/>
                <c:pt idx="0">
                  <c:v>Recycled Paper/Cardboard</c:v>
                </c:pt>
                <c:pt idx="1">
                  <c:v>Recycled Flexible Plastic</c:v>
                </c:pt>
                <c:pt idx="2">
                  <c:v>Recycled Steel (Non-DRS)</c:v>
                </c:pt>
                <c:pt idx="3">
                  <c:v>Non-Recycled Plastic</c:v>
                </c:pt>
                <c:pt idx="4">
                  <c:v>Plastic Non-Beverage Bottles</c:v>
                </c:pt>
                <c:pt idx="5">
                  <c:v>Recycled Composite</c:v>
                </c:pt>
                <c:pt idx="6">
                  <c:v>Recycled Rigid Plastic</c:v>
                </c:pt>
                <c:pt idx="7">
                  <c:v>Recycled Wood</c:v>
                </c:pt>
                <c:pt idx="8">
                  <c:v>Plastic Participation</c:v>
                </c:pt>
                <c:pt idx="9">
                  <c:v>Aluminium element</c:v>
                </c:pt>
                <c:pt idx="10">
                  <c:v>Paper/Cardboard element</c:v>
                </c:pt>
                <c:pt idx="11">
                  <c:v>Plastic Bottles Participation</c:v>
                </c:pt>
                <c:pt idx="12">
                  <c:v>Plastic element</c:v>
                </c:pt>
              </c:strCache>
            </c:strRef>
          </c:cat>
          <c:val>
            <c:numRef>
              <c:f>'REPAK Summary'!$C$19:$C$31</c:f>
              <c:numCache>
                <c:formatCode>_-[$€-2]\ * #,##0.00_-;\-[$€-2]\ * #,##0.00_-;_-[$€-2]\ * "-"??_-;_-@_-</c:formatCode>
                <c:ptCount val="13"/>
                <c:pt idx="0">
                  <c:v>5030.66</c:v>
                </c:pt>
                <c:pt idx="1">
                  <c:v>3380.45</c:v>
                </c:pt>
                <c:pt idx="2">
                  <c:v>1963.0700000000002</c:v>
                </c:pt>
                <c:pt idx="3">
                  <c:v>1295.83</c:v>
                </c:pt>
                <c:pt idx="4">
                  <c:v>708.02</c:v>
                </c:pt>
                <c:pt idx="5">
                  <c:v>170.15</c:v>
                </c:pt>
                <c:pt idx="6">
                  <c:v>161.92000000000002</c:v>
                </c:pt>
                <c:pt idx="7">
                  <c:v>96.949999999999989</c:v>
                </c:pt>
                <c:pt idx="8">
                  <c:v>0.51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0-4319-BEEE-B96DF622D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REPAK Targets for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10-4707-A93F-90C9DBFA70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10-4707-A93F-90C9DBFA70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10-4707-A93F-90C9DBFA70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10-4707-A93F-90C9DBFA70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10-4707-A93F-90C9DBFA70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'REPAK Summary'!$B$61:$B$65</c:f>
              <c:strCache>
                <c:ptCount val="5"/>
                <c:pt idx="0">
                  <c:v>Paper</c:v>
                </c:pt>
                <c:pt idx="1">
                  <c:v>Plastic</c:v>
                </c:pt>
                <c:pt idx="2">
                  <c:v>Glass</c:v>
                </c:pt>
                <c:pt idx="3">
                  <c:v>Metals</c:v>
                </c:pt>
                <c:pt idx="4">
                  <c:v>Wood</c:v>
                </c:pt>
              </c:strCache>
            </c:strRef>
          </c:cat>
          <c:val>
            <c:numRef>
              <c:f>'REPAK Summary'!$C$61:$C$65</c:f>
              <c:numCache>
                <c:formatCode>0%</c:formatCode>
                <c:ptCount val="5"/>
                <c:pt idx="0">
                  <c:v>0.85</c:v>
                </c:pt>
                <c:pt idx="1">
                  <c:v>0.55000000000000004</c:v>
                </c:pt>
                <c:pt idx="2">
                  <c:v>0.9</c:v>
                </c:pt>
                <c:pt idx="3">
                  <c:v>0.8</c:v>
                </c:pt>
                <c:pt idx="4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5-4226-A9AB-6B4436AF4E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Reductions in line with REPAK 2030 targets</a:t>
            </a:r>
            <a:r>
              <a:rPr lang="en-IE" baseline="0"/>
              <a:t> (against 2024 baseline)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'REPAK Summary'!$C$81</c:f>
              <c:strCache>
                <c:ptCount val="1"/>
                <c:pt idx="0">
                  <c:v>Full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'REPAK Summary'!$B$82:$B$94</c:f>
              <c:strCache>
                <c:ptCount val="13"/>
                <c:pt idx="0">
                  <c:v>Recycled Paper/Cardboard</c:v>
                </c:pt>
                <c:pt idx="1">
                  <c:v>Recycled Flexible Plastic</c:v>
                </c:pt>
                <c:pt idx="2">
                  <c:v>Recycled Steel (Non-DRS)</c:v>
                </c:pt>
                <c:pt idx="3">
                  <c:v>Non-Recycled Plastic</c:v>
                </c:pt>
                <c:pt idx="4">
                  <c:v>Plastic Non-Beverage Bottles</c:v>
                </c:pt>
                <c:pt idx="5">
                  <c:v>Recycled Composite</c:v>
                </c:pt>
                <c:pt idx="6">
                  <c:v>Recycled Rigid Plastic</c:v>
                </c:pt>
                <c:pt idx="7">
                  <c:v>Recycled Wood</c:v>
                </c:pt>
                <c:pt idx="8">
                  <c:v>Plastic Participation</c:v>
                </c:pt>
                <c:pt idx="9">
                  <c:v>Aluminium element</c:v>
                </c:pt>
                <c:pt idx="10">
                  <c:v>Paper/Cardboard element</c:v>
                </c:pt>
                <c:pt idx="11">
                  <c:v>Plastic Bottles Participation</c:v>
                </c:pt>
                <c:pt idx="12">
                  <c:v>Plastic element</c:v>
                </c:pt>
              </c:strCache>
            </c:strRef>
          </c:cat>
          <c:val>
            <c:numRef>
              <c:f>'REPAK Summary'!$C$82:$C$94</c:f>
              <c:numCache>
                <c:formatCode>_-[$€-2]\ * #,##0.00_-;\-[$€-2]\ * #,##0.00_-;_-[$€-2]\ * "-"??_-;_-@_-</c:formatCode>
                <c:ptCount val="13"/>
                <c:pt idx="0">
                  <c:v>5030.66</c:v>
                </c:pt>
                <c:pt idx="1">
                  <c:v>3380.45</c:v>
                </c:pt>
                <c:pt idx="2">
                  <c:v>1963.0700000000002</c:v>
                </c:pt>
                <c:pt idx="3">
                  <c:v>1295.83</c:v>
                </c:pt>
                <c:pt idx="4">
                  <c:v>708.02</c:v>
                </c:pt>
                <c:pt idx="5">
                  <c:v>170.15</c:v>
                </c:pt>
                <c:pt idx="6">
                  <c:v>161.92000000000002</c:v>
                </c:pt>
                <c:pt idx="7">
                  <c:v>96.949999999999989</c:v>
                </c:pt>
                <c:pt idx="8">
                  <c:v>0.51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F-4D0C-9F70-6D8267C78071}"/>
            </c:ext>
          </c:extLst>
        </c:ser>
        <c:ser>
          <c:idx val="1"/>
          <c:order val="1"/>
          <c:tx>
            <c:strRef>
              <c:f>'REPAK Summary'!$D$81</c:f>
              <c:strCache>
                <c:ptCount val="1"/>
                <c:pt idx="0">
                  <c:v>By 2030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'REPAK Summary'!$B$82:$B$94</c:f>
              <c:strCache>
                <c:ptCount val="13"/>
                <c:pt idx="0">
                  <c:v>Recycled Paper/Cardboard</c:v>
                </c:pt>
                <c:pt idx="1">
                  <c:v>Recycled Flexible Plastic</c:v>
                </c:pt>
                <c:pt idx="2">
                  <c:v>Recycled Steel (Non-DRS)</c:v>
                </c:pt>
                <c:pt idx="3">
                  <c:v>Non-Recycled Plastic</c:v>
                </c:pt>
                <c:pt idx="4">
                  <c:v>Plastic Non-Beverage Bottles</c:v>
                </c:pt>
                <c:pt idx="5">
                  <c:v>Recycled Composite</c:v>
                </c:pt>
                <c:pt idx="6">
                  <c:v>Recycled Rigid Plastic</c:v>
                </c:pt>
                <c:pt idx="7">
                  <c:v>Recycled Wood</c:v>
                </c:pt>
                <c:pt idx="8">
                  <c:v>Plastic Participation</c:v>
                </c:pt>
                <c:pt idx="9">
                  <c:v>Aluminium element</c:v>
                </c:pt>
                <c:pt idx="10">
                  <c:v>Paper/Cardboard element</c:v>
                </c:pt>
                <c:pt idx="11">
                  <c:v>Plastic Bottles Participation</c:v>
                </c:pt>
                <c:pt idx="12">
                  <c:v>Plastic element</c:v>
                </c:pt>
              </c:strCache>
            </c:strRef>
          </c:cat>
          <c:val>
            <c:numRef>
              <c:f>'REPAK Summary'!$D$82:$D$94</c:f>
              <c:numCache>
                <c:formatCode>_-[$€-2]\ * #,##0.00_-;\-[$€-2]\ * #,##0.00_-;_-[$€-2]\ * "-"??_-;_-@_-</c:formatCode>
                <c:ptCount val="13"/>
                <c:pt idx="0">
                  <c:v>754.59900000000005</c:v>
                </c:pt>
                <c:pt idx="1">
                  <c:v>1521.2024999999999</c:v>
                </c:pt>
                <c:pt idx="2">
                  <c:v>392.61399999999992</c:v>
                </c:pt>
                <c:pt idx="3">
                  <c:v>583.12349999999992</c:v>
                </c:pt>
                <c:pt idx="4">
                  <c:v>318.60899999999998</c:v>
                </c:pt>
                <c:pt idx="6">
                  <c:v>72.864000000000004</c:v>
                </c:pt>
                <c:pt idx="7">
                  <c:v>14.5425</c:v>
                </c:pt>
                <c:pt idx="8">
                  <c:v>0.22949999999999998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F-4D0C-9F70-6D8267C78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701519"/>
        <c:axId val="811701039"/>
      </c:barChart>
      <c:catAx>
        <c:axId val="81170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01039"/>
        <c:crosses val="autoZero"/>
        <c:auto val="1"/>
        <c:lblAlgn val="ctr"/>
        <c:lblOffset val="100"/>
        <c:noMultiLvlLbl val="0"/>
      </c:catAx>
      <c:valAx>
        <c:axId val="8117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01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Product/SKU</a:t>
            </a:r>
            <a:r>
              <a:rPr lang="en-IE" baseline="0"/>
              <a:t> split across brands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Unique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Summary!$B$3:$B$4</c:f>
              <c:strCache>
                <c:ptCount val="2"/>
                <c:pt idx="0">
                  <c:v>Homestead</c:v>
                </c:pt>
                <c:pt idx="1">
                  <c:v>White Hat</c:v>
                </c:pt>
              </c:strCache>
            </c:strRef>
          </c:cat>
          <c:val>
            <c:numRef>
              <c:f>Summary!$C$3:$C$4</c:f>
              <c:numCache>
                <c:formatCode>General</c:formatCode>
                <c:ptCount val="2"/>
                <c:pt idx="0">
                  <c:v>34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A-4309-80FF-3355DF5AD330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SKU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Summary!$B$3:$B$4</c:f>
              <c:strCache>
                <c:ptCount val="2"/>
                <c:pt idx="0">
                  <c:v>Homestead</c:v>
                </c:pt>
                <c:pt idx="1">
                  <c:v>White Hat</c:v>
                </c:pt>
              </c:strCache>
            </c:strRef>
          </c:cat>
          <c:val>
            <c:numRef>
              <c:f>Summary!$D$3:$D$4</c:f>
              <c:numCache>
                <c:formatCode>General</c:formatCode>
                <c:ptCount val="2"/>
                <c:pt idx="0">
                  <c:v>105</c:v>
                </c:pt>
                <c:pt idx="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A-4309-80FF-3355DF5AD3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58329760"/>
        <c:axId val="458330240"/>
      </c:barChart>
      <c:catAx>
        <c:axId val="45832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30240"/>
        <c:crosses val="autoZero"/>
        <c:auto val="1"/>
        <c:lblAlgn val="ctr"/>
        <c:lblOffset val="100"/>
        <c:noMultiLvlLbl val="0"/>
      </c:catAx>
      <c:valAx>
        <c:axId val="458330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832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Supplier 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product type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count (Domestic)</a:t>
            </a:r>
          </a:p>
        </cx:rich>
      </cx:tx>
    </cx:title>
    <cx:plotArea>
      <cx:plotAreaRegion>
        <cx:series layoutId="funnel" uniqueId="{83F8947A-6EA1-4CD2-A505-C0B9858FAF5E}">
          <cx:tx>
            <cx:txData>
              <cx:f>_xlchart.v2.1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tle>
          <cx:tx>
            <cx:txData>
              <cx:v>Supplier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Supplier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4CFEEF9C-3DAB-4304-9275-924FF5FC68DF}">
          <cx:tx>
            <cx:txData>
              <cx:f>_xlchart.v2.4</cx:f>
              <cx:v>Total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2024 supplier volumes for Homestead and White Hat brands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A25B8E95-3A86-46FB-B5FC-1651DF6F7B3E}">
          <cx:tx>
            <cx:txData>
              <cx:f>_xlchart.v2.7</cx:f>
              <cx:v>Volume (2024)</cx:v>
            </cx:txData>
          </cx:tx>
          <cx:dataLabels pos="ctr"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plotArea>
      <cx:plotAreaRegion>
        <cx:series layoutId="treemap" uniqueId="{8A80F99E-265A-4A1D-829E-0ED7A1D25EE4}">
          <cx:tx>
            <cx:txData>
              <cx:f>_xlchart.v1.10</cx:f>
              <cx:v>Volume</cx:v>
            </cx:txData>
          </cx:tx>
          <cx:dataLabels pos="inEnd">
            <cx:numFmt formatCode="#,##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1</xdr:row>
      <xdr:rowOff>114300</xdr:rowOff>
    </xdr:from>
    <xdr:to>
      <xdr:col>19</xdr:col>
      <xdr:colOff>342899</xdr:colOff>
      <xdr:row>15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E7FCE-9D52-4762-8A6A-453C4D423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466724</xdr:colOff>
      <xdr:row>18</xdr:row>
      <xdr:rowOff>33337</xdr:rowOff>
    </xdr:from>
    <xdr:to>
      <xdr:col>20</xdr:col>
      <xdr:colOff>238125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686342-4E23-B90C-7AC4-C97221EA5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476249</xdr:colOff>
      <xdr:row>33</xdr:row>
      <xdr:rowOff>171451</xdr:rowOff>
    </xdr:from>
    <xdr:to>
      <xdr:col>15</xdr:col>
      <xdr:colOff>295274</xdr:colOff>
      <xdr:row>57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24AF47-045C-D049-40F3-86BD257F4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1085849</xdr:colOff>
      <xdr:row>59</xdr:row>
      <xdr:rowOff>176211</xdr:rowOff>
    </xdr:from>
    <xdr:to>
      <xdr:col>9</xdr:col>
      <xdr:colOff>228599</xdr:colOff>
      <xdr:row>76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086A46-9B68-05F6-2E53-4D6C0BDD5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</xdr:colOff>
      <xdr:row>80</xdr:row>
      <xdr:rowOff>23811</xdr:rowOff>
    </xdr:from>
    <xdr:to>
      <xdr:col>17</xdr:col>
      <xdr:colOff>0</xdr:colOff>
      <xdr:row>94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761834-90BB-BFA9-D0D8-65A21A59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185737</xdr:rowOff>
    </xdr:from>
    <xdr:to>
      <xdr:col>11</xdr:col>
      <xdr:colOff>552450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D8894-6F45-272C-47D7-AF824543B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3</xdr:row>
      <xdr:rowOff>14287</xdr:rowOff>
    </xdr:from>
    <xdr:to>
      <xdr:col>15</xdr:col>
      <xdr:colOff>333374</xdr:colOff>
      <xdr:row>17</xdr:row>
      <xdr:rowOff>90487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C29329B-25D6-7AE9-9138-10A4EF2E4D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9136" y="585787"/>
              <a:ext cx="715803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40</xdr:row>
      <xdr:rowOff>114300</xdr:rowOff>
    </xdr:from>
    <xdr:to>
      <xdr:col>7</xdr:col>
      <xdr:colOff>1613495</xdr:colOff>
      <xdr:row>71</xdr:row>
      <xdr:rowOff>96072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0E782-8E2C-56A2-FB94-41965E470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8058150"/>
          <a:ext cx="7020905" cy="5887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219074</xdr:colOff>
      <xdr:row>22</xdr:row>
      <xdr:rowOff>185737</xdr:rowOff>
    </xdr:from>
    <xdr:to>
      <xdr:col>24</xdr:col>
      <xdr:colOff>304799</xdr:colOff>
      <xdr:row>41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8F9289-AE11-8BF7-B21D-DF80555F2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49" y="4452937"/>
              <a:ext cx="8620125" cy="3519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3</xdr:row>
      <xdr:rowOff>4761</xdr:rowOff>
    </xdr:from>
    <xdr:to>
      <xdr:col>21</xdr:col>
      <xdr:colOff>209550</xdr:colOff>
      <xdr:row>28</xdr:row>
      <xdr:rowOff>66674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5BE246-67D7-FF59-3A24-354B3E1274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4" y="576261"/>
              <a:ext cx="8724901" cy="4824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342899</xdr:colOff>
      <xdr:row>1</xdr:row>
      <xdr:rowOff>76200</xdr:rowOff>
    </xdr:from>
    <xdr:to>
      <xdr:col>23</xdr:col>
      <xdr:colOff>533400</xdr:colOff>
      <xdr:row>27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577949-9B39-A6A9-C7D2-97BA17EAB2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266700"/>
              <a:ext cx="9944101" cy="494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Green%20Streets%20-%20STO001_Packaging-Specs_2024%20-%20BM%20Analysis%20v1.3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inehane" refreshedDate="45854.486811689814" createdVersion="8" refreshedVersion="8" minRefreshableVersion="3" recordCount="235" xr:uid="{2352C6DA-4055-4364-8E14-8BF0065758E4}">
  <cacheSource type="worksheet">
    <worksheetSource ref="A1:O236" sheet="HSWHProdsMerged"/>
  </cacheSource>
  <cacheFields count="15">
    <cacheField name="Product Code" numFmtId="0">
      <sharedItems containsMixedTypes="1" containsNumber="1" containsInteger="1" minValue="1090" maxValue="10605"/>
    </cacheField>
    <cacheField name="Product Name" numFmtId="0">
      <sharedItems count="81">
        <s v="Cornflour 3kg"/>
        <s v="Plain Flour 25kg"/>
        <s v="Bakers Flour 16kg"/>
        <s v="Self-Raising Flour 25kg"/>
        <s v="Plain Flour 16kg"/>
        <s v="Wholemeal Flour 16kg"/>
        <s v="8oz Single Wall Black Cup 50's "/>
        <s v="8oz Lids 100's"/>
        <s v="12oz/16oz Lids (ND) 100's"/>
        <s v="Plastic Flexi Pint Glasses 50's "/>
        <s v="Plastic Flexi Half Pint Glasses 50's "/>
        <s v="7oz White Plastic Cups 100's"/>
        <s v="8oz Compostable Lids 100's"/>
        <s v="12/16oz Compostable Lids 100's"/>
        <s v="WHITE HAT COOKING FOIL 440MM X 90M"/>
        <s v="WHITE HAT BAKING PARCH 450MM X 50M "/>
        <s v="Powder Free Vinyl Gloves Clear Med 100's"/>
        <s v="Heavy Duty Refuse Sacks on a roll 26&quot;x44&quot; - 2x25's (WH41)"/>
        <s v="Powder Free Vinyl Gloves Clear Small 100's"/>
        <s v="Powder Free Vinyl Gloves Clear Large 100's"/>
        <s v="Powder Free Vinyl Gloves Clear X-Large 100's"/>
        <s v="Powdered Vinyl Gloves Clear Med 100's"/>
        <s v="Powdered Vinyl Gloves Clear Large 100's"/>
        <s v="Powdered Vinyl Gloves Clear X-Large 100's"/>
        <s v="Powdered Vinyl Gloves Blue Med 100's"/>
        <s v="Powdered Vinyl Gloves Blue Large 100's"/>
        <s v="Powdered Vinyl Gloves Blue X-Large 100's"/>
        <s v="Large Refuse Sacks BOR 26x44 25s(WH40A)"/>
        <s v="Cooking Oil 20lt"/>
        <s v="Curry Sauce 15lt"/>
        <s v="7&quot; Bagasse Compostable Round Plate 50's"/>
        <s v="9&quot; Bagasse Compostable Round Plate 50's"/>
        <s v="Strawberry Jam 20grm"/>
        <s v="Raspberry Jam 20grm"/>
        <s v="Blackcurrant Jam 20grm"/>
        <s v="Marmalade 20grm"/>
        <s v="Assorted Jam 20grm"/>
        <s v="Easi Cook Rice 5kg"/>
        <s v="Distilled Vinegar 5lt"/>
        <s v="White Sugar Sachets 1000's"/>
        <s v="Brown Sugar Sachets 1000's"/>
        <s v="White Sugar Sticks 1000's"/>
        <s v="Brown Sugar Sticks 1000's"/>
        <s v="Salt Sachets 1000's"/>
        <s v="Pepper Sachets 1000's"/>
        <s v="Chopped Tomatoes 2.55kg"/>
        <s v="Sweetcorn 326g"/>
        <s v="Chopped Tomatoes 400g"/>
        <s v="Peeled Tomatoes 400g"/>
        <s v="Red Kidney Beans 400g"/>
        <s v="Beans 420g"/>
        <s v="Peas 420g"/>
        <s v="Chick Peas 400g "/>
        <s v="Plain Flour 2kg - Non Flashed"/>
        <s v="Self Raising Flour 2kg - Non Flashed"/>
        <s v="Wholemeal Flour 2kg - Non Flashed"/>
        <s v="Firelighters 60's (New)"/>
        <s v="Firelighters 30's (New)"/>
        <s v="Firelog 700g"/>
        <s v="Homestead Firelogs 700g - New Code"/>
        <s v="HS Firelighters 30 New Pack"/>
        <s v="HS Firelighters 60 New Pack"/>
        <s v="HS Jumbo Extra Strong Refuse Sacks 8's "/>
        <s v="Freezer Bags on Roll 12x15 (HOM8)"/>
        <s v="Homestead Kitchen Foil 440mmx10M "/>
        <s v="All Purpose Cloths 10's"/>
        <s v="Black Refuse Sacks on Roll 8's(HOM4A)"/>
        <s v="Orange Juice 1ltr "/>
        <s v="Apple Juice 1ltr "/>
        <s v="Cranberry Juice Reduced Sugar 1lt"/>
        <s v="Spaghetti 500g"/>
        <s v="Penne Pasta 500g"/>
        <s v="Fusilli Pasta 500g"/>
        <s v="Paws Beef Complete 2.5kg + 60% XF"/>
        <s v="Paws Chicken Complete 2.5kg + 60% XF"/>
        <s v="Paws Complete Dog Food 10kg "/>
        <s v="Paws Tins 400g"/>
        <s v="Comfort Toilet Tissue 4 Roll - €1.49(9127)"/>
        <s v="Comfort Toilet Tissue 16 Roll (7665)"/>
        <s v="Luxury Soft Toilet Tissue 9Roll (7653)"/>
        <s v="Luxury Soft Toilet Tissue 4 Roll €2 (7808)"/>
      </sharedItems>
    </cacheField>
    <cacheField name="Department" numFmtId="0">
      <sharedItems count="19">
        <s v="Baking"/>
        <s v="Beverage"/>
        <s v="Kitchen"/>
        <s v="Oil"/>
        <s v="Paste"/>
        <s v="Plates"/>
        <s v="Portions"/>
        <s v="Rice"/>
        <s v="Sauces"/>
        <s v="Seasonings"/>
        <s v="Tinned Veg"/>
        <s v="CANNED VEG"/>
        <s v="FLOUR"/>
        <s v="FUELS"/>
        <s v="Household"/>
        <s v="JUICE"/>
        <s v="PASTA"/>
        <s v="Paws Pet Food"/>
        <s v="TISSUE"/>
      </sharedItems>
    </cacheField>
    <cacheField name="Supplier Name" numFmtId="0">
      <sharedItems count="15">
        <s v="Valeo Foods"/>
        <s v="Catering Disposables"/>
        <s v="Western Plastics"/>
        <s v="Shabra"/>
        <s v="Natures Oil"/>
        <s v="Excellence"/>
        <s v="Gem Pack"/>
        <s v="Warehouse - Standard Brands"/>
        <s v="Standard Brands"/>
        <s v="Standard Brands "/>
        <s v="Shabra Plastics &amp; Packaging Ltd"/>
        <s v="Boyne Valley"/>
        <s v="Mulrines"/>
        <s v="Irish Dog Food"/>
        <s v="T&amp;R Interissue"/>
      </sharedItems>
    </cacheField>
    <cacheField name="IE / Import" numFmtId="0">
      <sharedItems/>
    </cacheField>
    <cacheField name="Units _x000a_per Case" numFmtId="41">
      <sharedItems containsSemiMixedTypes="0" containsString="0" containsNumber="1" containsInteger="1" minValue="1" maxValue="96"/>
    </cacheField>
    <cacheField name="Cases _x000a_per Pallet" numFmtId="41">
      <sharedItems containsSemiMixedTypes="0" containsString="0" containsNumber="1" containsInteger="1" minValue="1" maxValue="248"/>
    </cacheField>
    <cacheField name="Packaging_x000a_Level" numFmtId="0">
      <sharedItems count="4">
        <s v="Primary"/>
        <s v="Secondary"/>
        <s v="Tertiary"/>
        <s v="Product"/>
      </sharedItems>
    </cacheField>
    <cacheField name="Base _x000a_Material" numFmtId="0">
      <sharedItems count="5">
        <s v="Plastic"/>
        <s v="Paper/Card"/>
        <s v="Wood"/>
        <s v="Steel"/>
        <s v="Composite"/>
      </sharedItems>
    </cacheField>
    <cacheField name="Specific Material" numFmtId="0">
      <sharedItems count="11">
        <s v="LDPE - Low-Density PolyEthylene"/>
        <s v="Cardboard"/>
        <s v="Paper"/>
        <s v="PP - PolyPropylene"/>
        <s v="Wood"/>
        <s v="PET - PolyEthylene Terephthalate"/>
        <s v="Steel"/>
        <s v="Composite Paper"/>
        <s v="Composite Plastic"/>
        <s v="Composite Metal"/>
        <s v="HDPE - High-Density PolyEthylene"/>
      </sharedItems>
    </cacheField>
    <cacheField name="Packaging Type" numFmtId="0">
      <sharedItems containsBlank="1" count="16">
        <s v="Bag"/>
        <s v="Box"/>
        <s v="Wrap"/>
        <s v="Cup"/>
        <s v="Lid"/>
        <s v="Core"/>
        <s v="Pallets"/>
        <m/>
        <s v="Label"/>
        <s v="Bottle"/>
        <s v="Tub"/>
        <s v="Sachet"/>
        <s v="Can"/>
        <s v="TetraPak"/>
        <s v="Cap"/>
        <s v="Tray"/>
      </sharedItems>
    </cacheField>
    <cacheField name="Own Brand_x000a_(Yes/No)" numFmtId="0">
      <sharedItems count="1">
        <s v="Yes"/>
      </sharedItems>
    </cacheField>
    <cacheField name="Weight" numFmtId="0">
      <sharedItems containsSemiMixedTypes="0" containsString="0" containsNumber="1" minValue="1.2" maxValue="16000" count="86">
        <n v="20"/>
        <n v="255"/>
        <n v="200"/>
        <n v="310"/>
        <n v="152.26"/>
        <n v="15"/>
        <n v="8"/>
        <n v="803"/>
        <n v="2.2999999999999998"/>
        <n v="330"/>
        <n v="2.9"/>
        <n v="375"/>
        <n v="6"/>
        <n v="670"/>
        <n v="4.7"/>
        <n v="4.5"/>
        <n v="585"/>
        <n v="5"/>
        <n v="2"/>
        <n v="680"/>
        <n v="25"/>
        <n v="37"/>
        <n v="250"/>
        <n v="55"/>
        <n v="16000"/>
        <n v="2.1"/>
        <n v="321"/>
        <n v="363"/>
        <n v="3"/>
        <n v="44"/>
        <n v="204"/>
        <n v="2.5"/>
        <n v="187"/>
        <n v="63"/>
        <n v="171.6"/>
        <n v="1.2"/>
        <n v="144.6"/>
        <n v="165"/>
        <n v="120"/>
        <n v="65"/>
        <n v="6.4"/>
        <n v="242"/>
        <n v="347"/>
        <n v="1.7"/>
        <n v="61"/>
        <n v="48.8"/>
        <n v="21.2"/>
        <n v="51.8"/>
        <n v="66.8"/>
        <n v="27"/>
        <n v="50"/>
        <n v="34"/>
        <n v="14.84"/>
        <n v="45.36"/>
        <n v="56"/>
        <n v="217"/>
        <n v="26"/>
        <n v="4"/>
        <n v="420"/>
        <n v="305"/>
        <n v="16"/>
        <n v="175"/>
        <n v="500"/>
        <n v="14.68"/>
        <n v="56.5"/>
        <n v="12.5"/>
        <n v="450"/>
        <n v="17"/>
        <n v="10.199999999999999"/>
        <n v="6.8000000000000007"/>
        <n v="180"/>
        <n v="5.5"/>
        <n v="130"/>
        <n v="290"/>
        <n v="38"/>
        <n v="60"/>
        <n v="90"/>
        <n v="2.8"/>
        <n v="47.6"/>
        <n v="75.5"/>
        <n v="29.35"/>
        <n v="12"/>
        <n v="80"/>
        <n v="35"/>
        <n v="70"/>
        <n v="45"/>
      </sharedItems>
    </cacheField>
    <cacheField name="Unit of Measure_x000a_(g or kg)" numFmtId="0">
      <sharedItems count="1">
        <s v="g"/>
      </sharedItems>
    </cacheField>
    <cacheField name="Number of Packaging Typ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inehane" refreshedDate="45861.52724560185" createdVersion="8" refreshedVersion="8" minRefreshableVersion="3" recordCount="144" xr:uid="{D2081218-6AD8-4B46-9C4B-9B9CD3A9942D}">
  <cacheSource type="worksheet">
    <worksheetSource ref="D1:P1048576" sheet="HSWHVolsMerged" r:id="rId2"/>
  </cacheSource>
  <cacheFields count="7">
    <cacheField name="Supplier" numFmtId="0">
      <sharedItems containsBlank="1" count="19">
        <m/>
        <s v="Catering Disposables"/>
        <s v="Essity"/>
        <s v="Excellence Ltd"/>
        <s v="Gem Pack Foods "/>
        <s v="Healy's Honey Ltd"/>
        <s v="JDS Foods"/>
        <s v="Natures Oil"/>
        <s v="Shabra Plastics &amp; Packaging Ltd"/>
        <s v="Valeo Foods"/>
        <s v="Western Plastics"/>
        <s v="Barrys Tea"/>
        <s v="BIC"/>
        <s v="Boyne Valley"/>
        <s v="Irish Dog Foods "/>
        <s v="Mulrines"/>
        <s v="Standard Brands"/>
        <s v="T&amp;R"/>
        <s v="Valeo"/>
      </sharedItems>
    </cacheField>
    <cacheField name="Department" numFmtId="0">
      <sharedItems containsBlank="1" count="26">
        <m/>
        <s v="Beverage"/>
        <s v="Plates"/>
        <s v="Kitchen"/>
        <s v="Cutlery"/>
        <s v="Napkins"/>
        <s v="Portions"/>
        <s v="Sauces"/>
        <s v="Tinned Veg"/>
        <s v="Seasonings"/>
        <s v="Baking"/>
        <s v="Oil"/>
        <s v="Food Containers"/>
        <s v="Rice"/>
        <s v="Cigarette Lighters"/>
        <s v="Household"/>
        <s v="Canned Fruit"/>
        <s v="Canned Veg"/>
        <s v="Jams / Marms"/>
        <s v="Canned Fish"/>
        <s v="Paws Pet Food"/>
        <s v="Juice"/>
        <s v="Fuels"/>
        <s v="Tissue"/>
        <s v="Pasta"/>
        <s v="Flour"/>
      </sharedItems>
    </cacheField>
    <cacheField name="Product Code" numFmtId="0">
      <sharedItems containsString="0" containsBlank="1" containsNumber="1" containsInteger="1" minValue="1010" maxValue="50213" count="138">
        <m/>
        <n v="10519"/>
        <n v="10520"/>
        <n v="10489"/>
        <n v="10548"/>
        <n v="10428"/>
        <n v="10488"/>
        <n v="10487"/>
        <n v="2410"/>
        <n v="2415"/>
        <n v="2420"/>
        <n v="2385"/>
        <n v="2395"/>
        <n v="2400"/>
        <n v="2075"/>
        <n v="2260"/>
        <n v="2305"/>
        <n v="2310"/>
        <n v="10205"/>
        <n v="10531"/>
        <n v="10532"/>
        <n v="2340"/>
        <n v="2355"/>
        <n v="2350"/>
        <n v="2360"/>
        <n v="2370"/>
        <n v="2335"/>
        <n v="10059"/>
        <n v="10060"/>
        <n v="10061"/>
        <n v="10062"/>
        <n v="10066"/>
        <n v="10058"/>
        <n v="10376"/>
        <n v="10379"/>
        <n v="2015"/>
        <n v="10043"/>
        <n v="10385"/>
        <n v="10377"/>
        <n v="10378"/>
        <n v="2460"/>
        <n v="2470"/>
        <n v="2465"/>
        <n v="2475"/>
        <n v="2480"/>
        <n v="2485"/>
        <n v="10561"/>
        <n v="10560"/>
        <n v="10562"/>
        <n v="10105"/>
        <n v="2145"/>
        <n v="2150"/>
        <n v="2155"/>
        <n v="2120"/>
        <n v="2130"/>
        <n v="2135"/>
        <n v="2170"/>
        <n v="2250"/>
        <n v="10177"/>
        <n v="2255"/>
        <n v="10178"/>
        <n v="10318"/>
        <n v="10180"/>
        <n v="2525"/>
        <n v="2530"/>
        <n v="2535"/>
        <n v="10148"/>
        <n v="2515"/>
        <n v="5955"/>
        <n v="10555"/>
        <n v="50212"/>
        <n v="5930"/>
        <n v="10118"/>
        <n v="50213"/>
        <n v="1010"/>
        <n v="10149"/>
        <n v="10150"/>
        <n v="10151"/>
        <n v="10164"/>
        <n v="10165"/>
        <n v="10515"/>
        <n v="1140"/>
        <n v="1145"/>
        <n v="1150"/>
        <n v="1160"/>
        <n v="1155"/>
        <n v="1165"/>
        <n v="1055"/>
        <n v="10404"/>
        <n v="10190"/>
        <n v="10191"/>
        <n v="10274"/>
        <n v="10524"/>
        <n v="1090"/>
        <n v="10010"/>
        <n v="10011"/>
        <n v="10012"/>
        <n v="10014"/>
        <n v="5535"/>
        <n v="10484"/>
        <n v="10176"/>
        <n v="10175"/>
        <n v="1190"/>
        <n v="1180"/>
        <n v="10593"/>
        <n v="10050"/>
        <n v="10051"/>
        <n v="10052"/>
        <n v="1285"/>
        <n v="1300"/>
        <n v="1250"/>
        <n v="1255"/>
        <n v="1270"/>
        <n v="1265"/>
        <n v="10481"/>
        <n v="10161"/>
        <n v="10482"/>
        <n v="10591"/>
        <n v="10162"/>
        <n v="10592"/>
        <n v="10605"/>
        <n v="10604"/>
        <n v="10599"/>
        <n v="10588"/>
        <n v="10589"/>
        <n v="10513"/>
        <n v="10600"/>
        <n v="10587"/>
        <n v="10231"/>
        <n v="10232"/>
        <n v="10028"/>
        <n v="10027"/>
        <n v="10026"/>
        <n v="10594"/>
        <n v="10595"/>
        <n v="10039"/>
        <n v="10038"/>
        <n v="10037"/>
      </sharedItems>
    </cacheField>
    <cacheField name="Description" numFmtId="0">
      <sharedItems containsBlank="1"/>
    </cacheField>
    <cacheField name="Pack" numFmtId="0">
      <sharedItems containsBlank="1" containsMixedTypes="1" containsNumber="1" minValue="1" maxValue="1000"/>
    </cacheField>
    <cacheField name="Case Qty" numFmtId="0">
      <sharedItems containsString="0" containsBlank="1" containsNumber="1" containsInteger="1" minValue="1" maxValue="1000"/>
    </cacheField>
    <cacheField name="Total Volume 2024" numFmtId="0">
      <sharedItems containsString="0" containsBlank="1" containsNumber="1" minValue="0" maxValue="22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inehane" refreshedDate="45866.724178240744" createdVersion="8" refreshedVersion="8" minRefreshableVersion="3" recordCount="144" xr:uid="{F2B91D59-0A6C-4900-BED1-731C2F419E16}">
  <cacheSource type="worksheet">
    <worksheetSource ref="A1:H1048576" sheet="HSWH2024VolMrg"/>
  </cacheSource>
  <cacheFields count="7">
    <cacheField name="Supplier" numFmtId="0">
      <sharedItems containsBlank="1" count="19">
        <m/>
        <s v="Excellence Ltd"/>
        <s v="Catering Disposables"/>
        <s v="Shabra Plastics &amp; Packaging Ltd"/>
        <s v="Essity"/>
        <s v="Gem Pack Foods "/>
        <s v="Valeo Foods"/>
        <s v="Western Plastics"/>
        <s v="Natures Oil"/>
        <s v="Healy's Honey Ltd"/>
        <s v="JDS Foods"/>
        <s v="Barrys Tea"/>
        <s v="Irish Dog Foods "/>
        <s v="Valeo"/>
        <s v="Mulrines"/>
        <s v="BIC"/>
        <s v="Boyne Valley"/>
        <s v="T&amp;R"/>
        <s v="Standard Brands"/>
      </sharedItems>
    </cacheField>
    <cacheField name="Department" numFmtId="0">
      <sharedItems containsBlank="1" count="26">
        <m/>
        <s v="Sauces"/>
        <s v="Kitchen"/>
        <s v="Plates"/>
        <s v="Food Containers"/>
        <s v="Napkins"/>
        <s v="Seasonings"/>
        <s v="Rice"/>
        <s v="Baking"/>
        <s v="Tinned Veg"/>
        <s v="Oil"/>
        <s v="Cutlery"/>
        <s v="Portions"/>
        <s v="Beverage"/>
        <s v="Canned Fruit"/>
        <s v="Canned Veg"/>
        <s v="Paws Pet Food"/>
        <s v="Household"/>
        <s v="Canned Fish"/>
        <s v="Jams / Marms"/>
        <s v="Pasta"/>
        <s v="Flour"/>
        <s v="Juice"/>
        <s v="Cigarette Lighters"/>
        <s v="Tissue"/>
        <s v="Fuels"/>
      </sharedItems>
    </cacheField>
    <cacheField name="Product Code" numFmtId="0">
      <sharedItems containsString="0" containsBlank="1" containsNumber="1" containsInteger="1" minValue="1010" maxValue="50213"/>
    </cacheField>
    <cacheField name="Description" numFmtId="0">
      <sharedItems containsBlank="1"/>
    </cacheField>
    <cacheField name="Pack" numFmtId="0">
      <sharedItems containsBlank="1" containsMixedTypes="1" containsNumber="1" minValue="1" maxValue="1000" count="51">
        <m/>
        <n v="4.5"/>
        <n v="100"/>
        <n v="25"/>
        <n v="10"/>
        <n v="50"/>
        <s v="2 x 25"/>
        <n v="200"/>
        <n v="1"/>
        <s v="5kg"/>
        <s v="25kg"/>
        <s v="16kg"/>
        <s v="5ltr"/>
        <n v="2.2999999999999998"/>
        <n v="150"/>
        <s v="20ltr"/>
        <s v="2.55kg"/>
        <n v="20"/>
        <n v="1000"/>
        <s v="15L"/>
        <s v="3.7kg"/>
        <s v="1kg"/>
        <s v="2kg"/>
        <n v="80"/>
        <s v="425g"/>
        <s v="326g"/>
        <s v="410g"/>
        <s v="400g"/>
        <s v="Pair"/>
        <n v="5"/>
        <n v="12"/>
        <s v="185g"/>
        <s v="430g"/>
        <s v="500g"/>
        <s v="1Ltr"/>
        <n v="6"/>
        <s v="2.5kg"/>
        <s v="340g"/>
        <s v="680g"/>
        <s v="420g"/>
        <s v="10kg"/>
        <s v="4 Roll"/>
        <n v="3"/>
        <s v="16 Roll"/>
        <s v="9 Roll"/>
        <n v="8"/>
        <s v="250g"/>
        <s v="700g"/>
        <s v="2 Roll"/>
        <n v="30"/>
        <n v="60"/>
      </sharedItems>
    </cacheField>
    <cacheField name="Case Qty" numFmtId="0">
      <sharedItems containsString="0" containsBlank="1" containsNumber="1" containsInteger="1" minValue="1" maxValue="1000"/>
    </cacheField>
    <cacheField name="Total Volume 2024" numFmtId="0">
      <sharedItems containsString="0" containsBlank="1" containsNumber="1" minValue="0" maxValue="22080" count="140">
        <m/>
        <n v="2123"/>
        <n v="2687"/>
        <n v="57"/>
        <n v="15"/>
        <n v="90"/>
        <n v="118"/>
        <n v="74"/>
        <n v="135"/>
        <n v="2"/>
        <n v="215"/>
        <n v="2368"/>
        <n v="144"/>
        <n v="13442"/>
        <n v="1191"/>
        <n v="1827"/>
        <n v="312"/>
        <n v="103"/>
        <n v="242"/>
        <n v="112"/>
        <n v="79"/>
        <n v="505"/>
        <n v="479"/>
        <n v="157"/>
        <n v="142"/>
        <n v="127"/>
        <n v="39"/>
        <n v="10642"/>
        <n v="2666"/>
        <n v="5408"/>
        <n v="3722"/>
        <n v="5209"/>
        <n v="1429"/>
        <n v="10146"/>
        <n v="5697"/>
        <n v="156"/>
        <n v="136"/>
        <n v="2756"/>
        <n v="19632"/>
        <n v="10095"/>
        <n v="3095"/>
        <n v="100"/>
        <n v="190"/>
        <n v="107"/>
        <n v="123"/>
        <n v="62"/>
        <n v="680"/>
        <n v="2496"/>
        <n v="12924"/>
        <n v="3672"/>
        <n v="1876"/>
        <n v="1880"/>
        <n v="1106"/>
        <n v="5"/>
        <n v="554"/>
        <n v="7254.96"/>
        <n v="3944"/>
        <n v="1021"/>
        <n v="5917"/>
        <n v="4019"/>
        <n v="1"/>
        <n v="244"/>
        <n v="586"/>
        <n v="29"/>
        <n v="125"/>
        <n v="216"/>
        <n v="2226"/>
        <n v="22"/>
        <n v="3"/>
        <n v="30"/>
        <n v="54"/>
        <n v="20"/>
        <n v="673"/>
        <n v="9732"/>
        <n v="7692"/>
        <n v="2553"/>
        <n v="1782"/>
        <n v="4716"/>
        <n v="2194"/>
        <n v="1321"/>
        <n v="766"/>
        <n v="3149"/>
        <n v="124"/>
        <n v="1938"/>
        <n v="104"/>
        <n v="274"/>
        <n v="2125"/>
        <n v="659"/>
        <n v="217"/>
        <n v="197"/>
        <n v="556"/>
        <n v="473"/>
        <n v="865"/>
        <n v="2063"/>
        <n v="915"/>
        <n v="519"/>
        <n v="1923"/>
        <n v="1666"/>
        <n v="1555"/>
        <n v="1310"/>
        <n v="3945"/>
        <n v="3544"/>
        <n v="978"/>
        <n v="2440"/>
        <n v="1567"/>
        <n v="979"/>
        <n v="5257"/>
        <n v="271"/>
        <n v="1159"/>
        <n v="684"/>
        <n v="1141"/>
        <n v="1539"/>
        <n v="3002"/>
        <n v="1957"/>
        <n v="299"/>
        <n v="0"/>
        <n v="4283"/>
        <n v="2119"/>
        <n v="561"/>
        <n v="367"/>
        <n v="392"/>
        <n v="1117"/>
        <n v="678"/>
        <n v="3778"/>
        <n v="12990"/>
        <n v="8784"/>
        <n v="67"/>
        <n v="2030"/>
        <n v="5278"/>
        <n v="15372"/>
        <n v="16672"/>
        <n v="420"/>
        <n v="7156"/>
        <n v="3444"/>
        <n v="1669"/>
        <n v="1070"/>
        <n v="22080"/>
        <n v="11136"/>
        <n v="16651"/>
        <n v="217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n v="2520"/>
    <x v="0"/>
    <x v="0"/>
    <x v="0"/>
    <s v="Domestic"/>
    <n v="4"/>
    <n v="60"/>
    <x v="0"/>
    <x v="0"/>
    <x v="0"/>
    <x v="0"/>
    <x v="0"/>
    <x v="0"/>
    <x v="0"/>
    <n v="1"/>
  </r>
  <r>
    <n v="2520"/>
    <x v="0"/>
    <x v="0"/>
    <x v="0"/>
    <s v="Domestic"/>
    <n v="4"/>
    <n v="60"/>
    <x v="1"/>
    <x v="1"/>
    <x v="1"/>
    <x v="1"/>
    <x v="0"/>
    <x v="1"/>
    <x v="0"/>
    <n v="1"/>
  </r>
  <r>
    <n v="2520"/>
    <x v="0"/>
    <x v="0"/>
    <x v="0"/>
    <s v="Domestic"/>
    <n v="4"/>
    <n v="60"/>
    <x v="2"/>
    <x v="0"/>
    <x v="0"/>
    <x v="0"/>
    <x v="0"/>
    <x v="2"/>
    <x v="0"/>
    <n v="1"/>
  </r>
  <r>
    <n v="2525"/>
    <x v="1"/>
    <x v="0"/>
    <x v="0"/>
    <s v="Domestic"/>
    <n v="1"/>
    <n v="40"/>
    <x v="0"/>
    <x v="1"/>
    <x v="2"/>
    <x v="0"/>
    <x v="0"/>
    <x v="3"/>
    <x v="0"/>
    <n v="1"/>
  </r>
  <r>
    <n v="2525"/>
    <x v="1"/>
    <x v="0"/>
    <x v="0"/>
    <s v="Domestic"/>
    <n v="1"/>
    <n v="40"/>
    <x v="2"/>
    <x v="0"/>
    <x v="0"/>
    <x v="2"/>
    <x v="0"/>
    <x v="2"/>
    <x v="0"/>
    <n v="1"/>
  </r>
  <r>
    <n v="2530"/>
    <x v="2"/>
    <x v="0"/>
    <x v="0"/>
    <s v="Domestic"/>
    <n v="1"/>
    <n v="65"/>
    <x v="0"/>
    <x v="1"/>
    <x v="2"/>
    <x v="0"/>
    <x v="0"/>
    <x v="4"/>
    <x v="0"/>
    <n v="1"/>
  </r>
  <r>
    <n v="2530"/>
    <x v="2"/>
    <x v="0"/>
    <x v="0"/>
    <s v="Domestic"/>
    <n v="1"/>
    <n v="65"/>
    <x v="2"/>
    <x v="0"/>
    <x v="0"/>
    <x v="2"/>
    <x v="0"/>
    <x v="2"/>
    <x v="0"/>
    <n v="1"/>
  </r>
  <r>
    <n v="2535"/>
    <x v="3"/>
    <x v="0"/>
    <x v="0"/>
    <s v="Domestic"/>
    <n v="1"/>
    <n v="40"/>
    <x v="0"/>
    <x v="1"/>
    <x v="2"/>
    <x v="0"/>
    <x v="0"/>
    <x v="3"/>
    <x v="0"/>
    <n v="1"/>
  </r>
  <r>
    <n v="2535"/>
    <x v="3"/>
    <x v="0"/>
    <x v="0"/>
    <s v="Domestic"/>
    <n v="1"/>
    <n v="40"/>
    <x v="2"/>
    <x v="0"/>
    <x v="0"/>
    <x v="2"/>
    <x v="0"/>
    <x v="2"/>
    <x v="0"/>
    <n v="1"/>
  </r>
  <r>
    <n v="10096"/>
    <x v="4"/>
    <x v="0"/>
    <x v="0"/>
    <s v="Domestic"/>
    <n v="1"/>
    <n v="1"/>
    <x v="0"/>
    <x v="1"/>
    <x v="2"/>
    <x v="0"/>
    <x v="0"/>
    <x v="4"/>
    <x v="0"/>
    <n v="1"/>
  </r>
  <r>
    <n v="10407"/>
    <x v="5"/>
    <x v="0"/>
    <x v="0"/>
    <s v="Domestic"/>
    <n v="1"/>
    <n v="1"/>
    <x v="0"/>
    <x v="1"/>
    <x v="2"/>
    <x v="0"/>
    <x v="0"/>
    <x v="4"/>
    <x v="0"/>
    <n v="1"/>
  </r>
  <r>
    <n v="10418"/>
    <x v="6"/>
    <x v="1"/>
    <x v="1"/>
    <s v="Domestic"/>
    <n v="20"/>
    <n v="1"/>
    <x v="0"/>
    <x v="0"/>
    <x v="0"/>
    <x v="2"/>
    <x v="0"/>
    <x v="5"/>
    <x v="0"/>
    <n v="1"/>
  </r>
  <r>
    <n v="10418"/>
    <x v="6"/>
    <x v="1"/>
    <x v="1"/>
    <s v="Domestic"/>
    <n v="20"/>
    <n v="1"/>
    <x v="3"/>
    <x v="0"/>
    <x v="3"/>
    <x v="3"/>
    <x v="0"/>
    <x v="6"/>
    <x v="0"/>
    <n v="1"/>
  </r>
  <r>
    <n v="10418"/>
    <x v="6"/>
    <x v="1"/>
    <x v="1"/>
    <s v="Domestic"/>
    <n v="20"/>
    <n v="1"/>
    <x v="1"/>
    <x v="1"/>
    <x v="1"/>
    <x v="1"/>
    <x v="0"/>
    <x v="7"/>
    <x v="0"/>
    <n v="1"/>
  </r>
  <r>
    <n v="10427"/>
    <x v="7"/>
    <x v="1"/>
    <x v="1"/>
    <s v="Domestic"/>
    <n v="10"/>
    <n v="1"/>
    <x v="0"/>
    <x v="0"/>
    <x v="0"/>
    <x v="2"/>
    <x v="0"/>
    <x v="6"/>
    <x v="0"/>
    <n v="1"/>
  </r>
  <r>
    <n v="10427"/>
    <x v="7"/>
    <x v="1"/>
    <x v="1"/>
    <s v="Domestic"/>
    <n v="10"/>
    <n v="1"/>
    <x v="3"/>
    <x v="0"/>
    <x v="3"/>
    <x v="4"/>
    <x v="0"/>
    <x v="8"/>
    <x v="0"/>
    <n v="1"/>
  </r>
  <r>
    <n v="10427"/>
    <x v="7"/>
    <x v="1"/>
    <x v="1"/>
    <s v="Domestic"/>
    <n v="10"/>
    <n v="1"/>
    <x v="1"/>
    <x v="1"/>
    <x v="1"/>
    <x v="1"/>
    <x v="0"/>
    <x v="9"/>
    <x v="0"/>
    <n v="1"/>
  </r>
  <r>
    <n v="10428"/>
    <x v="8"/>
    <x v="1"/>
    <x v="1"/>
    <s v="Domestic"/>
    <n v="10"/>
    <n v="1"/>
    <x v="0"/>
    <x v="0"/>
    <x v="0"/>
    <x v="2"/>
    <x v="0"/>
    <x v="6"/>
    <x v="0"/>
    <n v="1"/>
  </r>
  <r>
    <n v="10428"/>
    <x v="8"/>
    <x v="1"/>
    <x v="1"/>
    <s v="Domestic"/>
    <n v="10"/>
    <n v="1"/>
    <x v="3"/>
    <x v="0"/>
    <x v="3"/>
    <x v="4"/>
    <x v="0"/>
    <x v="10"/>
    <x v="0"/>
    <n v="1"/>
  </r>
  <r>
    <n v="10428"/>
    <x v="8"/>
    <x v="1"/>
    <x v="1"/>
    <s v="Domestic"/>
    <n v="10"/>
    <n v="1"/>
    <x v="1"/>
    <x v="1"/>
    <x v="1"/>
    <x v="1"/>
    <x v="0"/>
    <x v="11"/>
    <x v="0"/>
    <n v="1"/>
  </r>
  <r>
    <n v="10487"/>
    <x v="9"/>
    <x v="1"/>
    <x v="1"/>
    <s v="Domestic"/>
    <n v="16"/>
    <n v="1"/>
    <x v="0"/>
    <x v="0"/>
    <x v="0"/>
    <x v="2"/>
    <x v="0"/>
    <x v="12"/>
    <x v="0"/>
    <n v="1"/>
  </r>
  <r>
    <n v="10487"/>
    <x v="9"/>
    <x v="1"/>
    <x v="1"/>
    <s v="Domestic"/>
    <n v="16"/>
    <n v="1"/>
    <x v="3"/>
    <x v="0"/>
    <x v="3"/>
    <x v="3"/>
    <x v="0"/>
    <x v="6"/>
    <x v="0"/>
    <n v="1"/>
  </r>
  <r>
    <n v="10487"/>
    <x v="9"/>
    <x v="1"/>
    <x v="1"/>
    <s v="Domestic"/>
    <n v="16"/>
    <n v="1"/>
    <x v="1"/>
    <x v="1"/>
    <x v="1"/>
    <x v="1"/>
    <x v="0"/>
    <x v="13"/>
    <x v="0"/>
    <n v="1"/>
  </r>
  <r>
    <n v="10488"/>
    <x v="10"/>
    <x v="1"/>
    <x v="1"/>
    <s v="Domestic"/>
    <n v="25"/>
    <n v="1"/>
    <x v="0"/>
    <x v="0"/>
    <x v="0"/>
    <x v="2"/>
    <x v="0"/>
    <x v="14"/>
    <x v="0"/>
    <n v="1"/>
  </r>
  <r>
    <n v="10488"/>
    <x v="10"/>
    <x v="1"/>
    <x v="1"/>
    <s v="Domestic"/>
    <n v="25"/>
    <n v="1"/>
    <x v="3"/>
    <x v="0"/>
    <x v="3"/>
    <x v="3"/>
    <x v="0"/>
    <x v="15"/>
    <x v="0"/>
    <n v="1"/>
  </r>
  <r>
    <n v="10488"/>
    <x v="10"/>
    <x v="1"/>
    <x v="1"/>
    <s v="Domestic"/>
    <n v="25"/>
    <n v="1"/>
    <x v="1"/>
    <x v="1"/>
    <x v="1"/>
    <x v="1"/>
    <x v="0"/>
    <x v="16"/>
    <x v="0"/>
    <n v="1"/>
  </r>
  <r>
    <n v="10489"/>
    <x v="11"/>
    <x v="1"/>
    <x v="1"/>
    <s v="Domestic"/>
    <n v="30"/>
    <n v="1"/>
    <x v="0"/>
    <x v="0"/>
    <x v="0"/>
    <x v="2"/>
    <x v="0"/>
    <x v="17"/>
    <x v="0"/>
    <n v="1"/>
  </r>
  <r>
    <n v="10489"/>
    <x v="11"/>
    <x v="1"/>
    <x v="1"/>
    <s v="Domestic"/>
    <n v="30"/>
    <n v="1"/>
    <x v="3"/>
    <x v="0"/>
    <x v="3"/>
    <x v="3"/>
    <x v="0"/>
    <x v="18"/>
    <x v="0"/>
    <n v="1"/>
  </r>
  <r>
    <n v="10489"/>
    <x v="11"/>
    <x v="1"/>
    <x v="1"/>
    <s v="Domestic"/>
    <n v="30"/>
    <n v="1"/>
    <x v="1"/>
    <x v="1"/>
    <x v="1"/>
    <x v="1"/>
    <x v="0"/>
    <x v="19"/>
    <x v="0"/>
    <n v="1"/>
  </r>
  <r>
    <n v="10519"/>
    <x v="12"/>
    <x v="1"/>
    <x v="1"/>
    <s v="Domestic"/>
    <n v="10"/>
    <n v="1"/>
    <x v="0"/>
    <x v="0"/>
    <x v="0"/>
    <x v="2"/>
    <x v="0"/>
    <x v="6"/>
    <x v="0"/>
    <n v="1"/>
  </r>
  <r>
    <n v="10519"/>
    <x v="12"/>
    <x v="1"/>
    <x v="1"/>
    <s v="Domestic"/>
    <n v="10"/>
    <n v="1"/>
    <x v="3"/>
    <x v="0"/>
    <x v="3"/>
    <x v="4"/>
    <x v="0"/>
    <x v="8"/>
    <x v="0"/>
    <n v="1"/>
  </r>
  <r>
    <n v="10519"/>
    <x v="12"/>
    <x v="1"/>
    <x v="1"/>
    <s v="Domestic"/>
    <n v="10"/>
    <n v="1"/>
    <x v="1"/>
    <x v="1"/>
    <x v="1"/>
    <x v="1"/>
    <x v="0"/>
    <x v="9"/>
    <x v="0"/>
    <n v="1"/>
  </r>
  <r>
    <n v="10520"/>
    <x v="13"/>
    <x v="1"/>
    <x v="1"/>
    <s v="Domestic"/>
    <n v="10"/>
    <n v="1"/>
    <x v="0"/>
    <x v="0"/>
    <x v="0"/>
    <x v="2"/>
    <x v="0"/>
    <x v="6"/>
    <x v="0"/>
    <n v="1"/>
  </r>
  <r>
    <n v="10520"/>
    <x v="13"/>
    <x v="1"/>
    <x v="1"/>
    <s v="Domestic"/>
    <n v="10"/>
    <n v="1"/>
    <x v="3"/>
    <x v="0"/>
    <x v="3"/>
    <x v="4"/>
    <x v="0"/>
    <x v="10"/>
    <x v="0"/>
    <n v="1"/>
  </r>
  <r>
    <n v="10520"/>
    <x v="13"/>
    <x v="1"/>
    <x v="1"/>
    <s v="Domestic"/>
    <n v="10"/>
    <n v="1"/>
    <x v="1"/>
    <x v="1"/>
    <x v="1"/>
    <x v="1"/>
    <x v="0"/>
    <x v="11"/>
    <x v="0"/>
    <n v="1"/>
  </r>
  <r>
    <n v="5930"/>
    <x v="14"/>
    <x v="2"/>
    <x v="2"/>
    <s v="Domestic"/>
    <n v="12"/>
    <n v="48"/>
    <x v="0"/>
    <x v="1"/>
    <x v="1"/>
    <x v="1"/>
    <x v="0"/>
    <x v="20"/>
    <x v="0"/>
    <n v="1"/>
  </r>
  <r>
    <n v="5930"/>
    <x v="14"/>
    <x v="2"/>
    <x v="2"/>
    <s v="Domestic"/>
    <n v="12"/>
    <n v="48"/>
    <x v="0"/>
    <x v="1"/>
    <x v="1"/>
    <x v="5"/>
    <x v="0"/>
    <x v="21"/>
    <x v="0"/>
    <n v="1"/>
  </r>
  <r>
    <n v="5930"/>
    <x v="14"/>
    <x v="2"/>
    <x v="2"/>
    <s v="Domestic"/>
    <n v="12"/>
    <n v="48"/>
    <x v="1"/>
    <x v="1"/>
    <x v="1"/>
    <x v="1"/>
    <x v="0"/>
    <x v="22"/>
    <x v="0"/>
    <n v="1"/>
  </r>
  <r>
    <n v="10118"/>
    <x v="15"/>
    <x v="2"/>
    <x v="2"/>
    <s v="Domestic"/>
    <n v="12"/>
    <n v="48"/>
    <x v="0"/>
    <x v="1"/>
    <x v="1"/>
    <x v="1"/>
    <x v="0"/>
    <x v="20"/>
    <x v="0"/>
    <n v="1"/>
  </r>
  <r>
    <n v="10118"/>
    <x v="15"/>
    <x v="2"/>
    <x v="2"/>
    <s v="Domestic"/>
    <n v="12"/>
    <n v="48"/>
    <x v="0"/>
    <x v="1"/>
    <x v="1"/>
    <x v="5"/>
    <x v="0"/>
    <x v="21"/>
    <x v="0"/>
    <n v="1"/>
  </r>
  <r>
    <n v="10118"/>
    <x v="15"/>
    <x v="2"/>
    <x v="2"/>
    <s v="Domestic"/>
    <n v="12"/>
    <n v="48"/>
    <x v="1"/>
    <x v="1"/>
    <x v="1"/>
    <x v="1"/>
    <x v="0"/>
    <x v="22"/>
    <x v="0"/>
    <n v="1"/>
  </r>
  <r>
    <n v="2075"/>
    <x v="16"/>
    <x v="2"/>
    <x v="1"/>
    <s v="Domestic"/>
    <n v="10"/>
    <n v="120"/>
    <x v="0"/>
    <x v="1"/>
    <x v="1"/>
    <x v="1"/>
    <x v="0"/>
    <x v="23"/>
    <x v="0"/>
    <n v="1"/>
  </r>
  <r>
    <n v="2075"/>
    <x v="16"/>
    <x v="2"/>
    <x v="1"/>
    <s v="Domestic"/>
    <n v="10"/>
    <n v="120"/>
    <x v="1"/>
    <x v="1"/>
    <x v="1"/>
    <x v="1"/>
    <x v="0"/>
    <x v="22"/>
    <x v="0"/>
    <n v="1"/>
  </r>
  <r>
    <n v="2075"/>
    <x v="16"/>
    <x v="2"/>
    <x v="1"/>
    <s v="Domestic"/>
    <n v="10"/>
    <n v="120"/>
    <x v="2"/>
    <x v="0"/>
    <x v="0"/>
    <x v="2"/>
    <x v="0"/>
    <x v="2"/>
    <x v="0"/>
    <n v="1"/>
  </r>
  <r>
    <n v="2075"/>
    <x v="16"/>
    <x v="2"/>
    <x v="1"/>
    <s v="Domestic"/>
    <n v="10"/>
    <n v="120"/>
    <x v="2"/>
    <x v="2"/>
    <x v="4"/>
    <x v="6"/>
    <x v="0"/>
    <x v="24"/>
    <x v="0"/>
    <n v="1"/>
  </r>
  <r>
    <n v="2255"/>
    <x v="17"/>
    <x v="2"/>
    <x v="3"/>
    <s v="Domestic"/>
    <n v="4"/>
    <n v="60"/>
    <x v="0"/>
    <x v="1"/>
    <x v="1"/>
    <x v="1"/>
    <x v="0"/>
    <x v="25"/>
    <x v="0"/>
    <n v="1"/>
  </r>
  <r>
    <n v="2255"/>
    <x v="17"/>
    <x v="2"/>
    <x v="3"/>
    <s v="Domestic"/>
    <n v="4"/>
    <n v="60"/>
    <x v="1"/>
    <x v="1"/>
    <x v="1"/>
    <x v="1"/>
    <x v="0"/>
    <x v="9"/>
    <x v="0"/>
    <n v="1"/>
  </r>
  <r>
    <n v="2260"/>
    <x v="18"/>
    <x v="2"/>
    <x v="1"/>
    <s v="Domestic"/>
    <n v="10"/>
    <n v="120"/>
    <x v="0"/>
    <x v="1"/>
    <x v="1"/>
    <x v="1"/>
    <x v="0"/>
    <x v="23"/>
    <x v="0"/>
    <n v="1"/>
  </r>
  <r>
    <n v="2260"/>
    <x v="18"/>
    <x v="2"/>
    <x v="1"/>
    <s v="Domestic"/>
    <n v="10"/>
    <n v="120"/>
    <x v="1"/>
    <x v="1"/>
    <x v="1"/>
    <x v="1"/>
    <x v="0"/>
    <x v="22"/>
    <x v="0"/>
    <n v="1"/>
  </r>
  <r>
    <n v="2260"/>
    <x v="18"/>
    <x v="2"/>
    <x v="1"/>
    <s v="Domestic"/>
    <n v="10"/>
    <n v="120"/>
    <x v="2"/>
    <x v="0"/>
    <x v="0"/>
    <x v="2"/>
    <x v="0"/>
    <x v="2"/>
    <x v="0"/>
    <n v="1"/>
  </r>
  <r>
    <n v="2260"/>
    <x v="18"/>
    <x v="2"/>
    <x v="1"/>
    <s v="Domestic"/>
    <n v="10"/>
    <n v="120"/>
    <x v="2"/>
    <x v="2"/>
    <x v="4"/>
    <x v="6"/>
    <x v="0"/>
    <x v="24"/>
    <x v="0"/>
    <n v="1"/>
  </r>
  <r>
    <n v="2305"/>
    <x v="19"/>
    <x v="2"/>
    <x v="1"/>
    <s v="Domestic"/>
    <n v="10"/>
    <n v="120"/>
    <x v="0"/>
    <x v="1"/>
    <x v="1"/>
    <x v="1"/>
    <x v="0"/>
    <x v="23"/>
    <x v="0"/>
    <n v="1"/>
  </r>
  <r>
    <n v="2305"/>
    <x v="19"/>
    <x v="2"/>
    <x v="1"/>
    <s v="Domestic"/>
    <n v="10"/>
    <n v="120"/>
    <x v="1"/>
    <x v="1"/>
    <x v="1"/>
    <x v="1"/>
    <x v="0"/>
    <x v="22"/>
    <x v="0"/>
    <n v="1"/>
  </r>
  <r>
    <n v="2305"/>
    <x v="19"/>
    <x v="2"/>
    <x v="1"/>
    <s v="Domestic"/>
    <n v="10"/>
    <n v="120"/>
    <x v="2"/>
    <x v="0"/>
    <x v="0"/>
    <x v="2"/>
    <x v="0"/>
    <x v="2"/>
    <x v="0"/>
    <n v="1"/>
  </r>
  <r>
    <n v="2305"/>
    <x v="19"/>
    <x v="2"/>
    <x v="1"/>
    <s v="Domestic"/>
    <n v="10"/>
    <n v="120"/>
    <x v="2"/>
    <x v="2"/>
    <x v="4"/>
    <x v="6"/>
    <x v="0"/>
    <x v="24"/>
    <x v="0"/>
    <n v="1"/>
  </r>
  <r>
    <n v="2310"/>
    <x v="20"/>
    <x v="2"/>
    <x v="1"/>
    <s v="Domestic"/>
    <n v="10"/>
    <n v="120"/>
    <x v="0"/>
    <x v="1"/>
    <x v="1"/>
    <x v="1"/>
    <x v="0"/>
    <x v="23"/>
    <x v="0"/>
    <n v="1"/>
  </r>
  <r>
    <n v="2310"/>
    <x v="20"/>
    <x v="2"/>
    <x v="1"/>
    <s v="Domestic"/>
    <n v="10"/>
    <n v="120"/>
    <x v="1"/>
    <x v="1"/>
    <x v="1"/>
    <x v="1"/>
    <x v="0"/>
    <x v="22"/>
    <x v="0"/>
    <n v="1"/>
  </r>
  <r>
    <n v="2310"/>
    <x v="20"/>
    <x v="2"/>
    <x v="1"/>
    <s v="Domestic"/>
    <n v="10"/>
    <n v="120"/>
    <x v="2"/>
    <x v="0"/>
    <x v="0"/>
    <x v="2"/>
    <x v="0"/>
    <x v="2"/>
    <x v="0"/>
    <n v="1"/>
  </r>
  <r>
    <n v="2310"/>
    <x v="20"/>
    <x v="2"/>
    <x v="1"/>
    <s v="Domestic"/>
    <n v="10"/>
    <n v="120"/>
    <x v="2"/>
    <x v="2"/>
    <x v="4"/>
    <x v="6"/>
    <x v="0"/>
    <x v="24"/>
    <x v="0"/>
    <n v="1"/>
  </r>
  <r>
    <n v="2385"/>
    <x v="21"/>
    <x v="2"/>
    <x v="1"/>
    <s v="Domestic"/>
    <n v="10"/>
    <n v="120"/>
    <x v="0"/>
    <x v="1"/>
    <x v="1"/>
    <x v="1"/>
    <x v="0"/>
    <x v="23"/>
    <x v="0"/>
    <n v="1"/>
  </r>
  <r>
    <n v="2385"/>
    <x v="21"/>
    <x v="2"/>
    <x v="1"/>
    <s v="Domestic"/>
    <n v="10"/>
    <n v="120"/>
    <x v="1"/>
    <x v="1"/>
    <x v="1"/>
    <x v="1"/>
    <x v="0"/>
    <x v="22"/>
    <x v="0"/>
    <n v="1"/>
  </r>
  <r>
    <n v="2385"/>
    <x v="21"/>
    <x v="2"/>
    <x v="1"/>
    <s v="Domestic"/>
    <n v="10"/>
    <n v="120"/>
    <x v="2"/>
    <x v="0"/>
    <x v="0"/>
    <x v="2"/>
    <x v="0"/>
    <x v="2"/>
    <x v="0"/>
    <n v="1"/>
  </r>
  <r>
    <n v="2385"/>
    <x v="21"/>
    <x v="2"/>
    <x v="1"/>
    <s v="Domestic"/>
    <n v="10"/>
    <n v="120"/>
    <x v="2"/>
    <x v="2"/>
    <x v="4"/>
    <x v="6"/>
    <x v="0"/>
    <x v="24"/>
    <x v="0"/>
    <n v="1"/>
  </r>
  <r>
    <n v="2395"/>
    <x v="22"/>
    <x v="2"/>
    <x v="1"/>
    <s v="Domestic"/>
    <n v="10"/>
    <n v="120"/>
    <x v="0"/>
    <x v="1"/>
    <x v="1"/>
    <x v="1"/>
    <x v="0"/>
    <x v="23"/>
    <x v="0"/>
    <n v="1"/>
  </r>
  <r>
    <n v="2395"/>
    <x v="22"/>
    <x v="2"/>
    <x v="1"/>
    <s v="Domestic"/>
    <n v="10"/>
    <n v="120"/>
    <x v="1"/>
    <x v="1"/>
    <x v="1"/>
    <x v="1"/>
    <x v="0"/>
    <x v="22"/>
    <x v="0"/>
    <n v="1"/>
  </r>
  <r>
    <n v="2395"/>
    <x v="22"/>
    <x v="2"/>
    <x v="1"/>
    <s v="Domestic"/>
    <n v="10"/>
    <n v="120"/>
    <x v="2"/>
    <x v="0"/>
    <x v="0"/>
    <x v="2"/>
    <x v="0"/>
    <x v="2"/>
    <x v="0"/>
    <n v="1"/>
  </r>
  <r>
    <n v="2395"/>
    <x v="22"/>
    <x v="2"/>
    <x v="1"/>
    <s v="Domestic"/>
    <n v="10"/>
    <n v="120"/>
    <x v="2"/>
    <x v="2"/>
    <x v="4"/>
    <x v="6"/>
    <x v="0"/>
    <x v="24"/>
    <x v="0"/>
    <n v="1"/>
  </r>
  <r>
    <n v="2400"/>
    <x v="23"/>
    <x v="2"/>
    <x v="1"/>
    <s v="Domestic"/>
    <n v="10"/>
    <n v="120"/>
    <x v="0"/>
    <x v="1"/>
    <x v="1"/>
    <x v="1"/>
    <x v="0"/>
    <x v="23"/>
    <x v="0"/>
    <n v="1"/>
  </r>
  <r>
    <n v="2400"/>
    <x v="23"/>
    <x v="2"/>
    <x v="1"/>
    <s v="Domestic"/>
    <n v="10"/>
    <n v="120"/>
    <x v="1"/>
    <x v="1"/>
    <x v="1"/>
    <x v="1"/>
    <x v="0"/>
    <x v="22"/>
    <x v="0"/>
    <n v="1"/>
  </r>
  <r>
    <n v="2400"/>
    <x v="23"/>
    <x v="2"/>
    <x v="1"/>
    <s v="Domestic"/>
    <n v="10"/>
    <n v="120"/>
    <x v="2"/>
    <x v="0"/>
    <x v="0"/>
    <x v="2"/>
    <x v="0"/>
    <x v="2"/>
    <x v="0"/>
    <n v="1"/>
  </r>
  <r>
    <n v="2400"/>
    <x v="23"/>
    <x v="2"/>
    <x v="1"/>
    <s v="Domestic"/>
    <n v="10"/>
    <n v="120"/>
    <x v="2"/>
    <x v="2"/>
    <x v="4"/>
    <x v="6"/>
    <x v="0"/>
    <x v="24"/>
    <x v="0"/>
    <n v="1"/>
  </r>
  <r>
    <n v="2410"/>
    <x v="24"/>
    <x v="2"/>
    <x v="1"/>
    <s v="Domestic"/>
    <n v="10"/>
    <n v="120"/>
    <x v="0"/>
    <x v="1"/>
    <x v="1"/>
    <x v="1"/>
    <x v="0"/>
    <x v="23"/>
    <x v="0"/>
    <n v="1"/>
  </r>
  <r>
    <n v="2410"/>
    <x v="24"/>
    <x v="2"/>
    <x v="1"/>
    <s v="Domestic"/>
    <n v="10"/>
    <n v="120"/>
    <x v="1"/>
    <x v="1"/>
    <x v="1"/>
    <x v="1"/>
    <x v="0"/>
    <x v="22"/>
    <x v="0"/>
    <n v="1"/>
  </r>
  <r>
    <n v="2410"/>
    <x v="24"/>
    <x v="2"/>
    <x v="1"/>
    <s v="Domestic"/>
    <n v="10"/>
    <n v="120"/>
    <x v="2"/>
    <x v="0"/>
    <x v="0"/>
    <x v="2"/>
    <x v="0"/>
    <x v="2"/>
    <x v="0"/>
    <n v="1"/>
  </r>
  <r>
    <n v="2410"/>
    <x v="24"/>
    <x v="2"/>
    <x v="1"/>
    <s v="Domestic"/>
    <n v="10"/>
    <n v="120"/>
    <x v="2"/>
    <x v="2"/>
    <x v="4"/>
    <x v="6"/>
    <x v="0"/>
    <x v="24"/>
    <x v="0"/>
    <n v="1"/>
  </r>
  <r>
    <n v="2415"/>
    <x v="25"/>
    <x v="2"/>
    <x v="1"/>
    <s v="Domestic"/>
    <n v="10"/>
    <n v="120"/>
    <x v="0"/>
    <x v="1"/>
    <x v="1"/>
    <x v="1"/>
    <x v="0"/>
    <x v="23"/>
    <x v="0"/>
    <n v="1"/>
  </r>
  <r>
    <n v="2415"/>
    <x v="25"/>
    <x v="2"/>
    <x v="1"/>
    <s v="Domestic"/>
    <n v="10"/>
    <n v="120"/>
    <x v="1"/>
    <x v="1"/>
    <x v="1"/>
    <x v="1"/>
    <x v="0"/>
    <x v="22"/>
    <x v="0"/>
    <n v="1"/>
  </r>
  <r>
    <n v="2415"/>
    <x v="25"/>
    <x v="2"/>
    <x v="1"/>
    <s v="Domestic"/>
    <n v="10"/>
    <n v="120"/>
    <x v="2"/>
    <x v="0"/>
    <x v="0"/>
    <x v="2"/>
    <x v="0"/>
    <x v="2"/>
    <x v="0"/>
    <n v="1"/>
  </r>
  <r>
    <n v="2415"/>
    <x v="25"/>
    <x v="2"/>
    <x v="1"/>
    <s v="Domestic"/>
    <n v="10"/>
    <n v="120"/>
    <x v="2"/>
    <x v="2"/>
    <x v="4"/>
    <x v="6"/>
    <x v="0"/>
    <x v="24"/>
    <x v="0"/>
    <n v="1"/>
  </r>
  <r>
    <n v="2420"/>
    <x v="26"/>
    <x v="2"/>
    <x v="1"/>
    <s v="Domestic"/>
    <n v="10"/>
    <n v="120"/>
    <x v="0"/>
    <x v="1"/>
    <x v="1"/>
    <x v="1"/>
    <x v="0"/>
    <x v="23"/>
    <x v="0"/>
    <n v="1"/>
  </r>
  <r>
    <n v="2420"/>
    <x v="26"/>
    <x v="2"/>
    <x v="1"/>
    <s v="Domestic"/>
    <n v="10"/>
    <n v="120"/>
    <x v="1"/>
    <x v="1"/>
    <x v="1"/>
    <x v="1"/>
    <x v="0"/>
    <x v="22"/>
    <x v="0"/>
    <n v="1"/>
  </r>
  <r>
    <n v="2420"/>
    <x v="26"/>
    <x v="2"/>
    <x v="1"/>
    <s v="Domestic"/>
    <n v="10"/>
    <n v="120"/>
    <x v="2"/>
    <x v="0"/>
    <x v="0"/>
    <x v="2"/>
    <x v="0"/>
    <x v="2"/>
    <x v="0"/>
    <n v="1"/>
  </r>
  <r>
    <n v="2420"/>
    <x v="26"/>
    <x v="2"/>
    <x v="1"/>
    <s v="Domestic"/>
    <n v="10"/>
    <n v="120"/>
    <x v="2"/>
    <x v="2"/>
    <x v="4"/>
    <x v="6"/>
    <x v="0"/>
    <x v="24"/>
    <x v="0"/>
    <n v="1"/>
  </r>
  <r>
    <n v="10177"/>
    <x v="27"/>
    <x v="2"/>
    <x v="3"/>
    <s v="Domestic"/>
    <n v="8"/>
    <n v="1"/>
    <x v="0"/>
    <x v="1"/>
    <x v="1"/>
    <x v="1"/>
    <x v="0"/>
    <x v="25"/>
    <x v="0"/>
    <n v="1"/>
  </r>
  <r>
    <n v="10177"/>
    <x v="27"/>
    <x v="2"/>
    <x v="3"/>
    <s v="Domestic"/>
    <n v="8"/>
    <n v="1"/>
    <x v="1"/>
    <x v="1"/>
    <x v="1"/>
    <x v="1"/>
    <x v="0"/>
    <x v="9"/>
    <x v="0"/>
    <n v="1"/>
  </r>
  <r>
    <n v="10105"/>
    <x v="28"/>
    <x v="3"/>
    <x v="4"/>
    <s v="Domestic"/>
    <n v="1"/>
    <n v="1"/>
    <x v="0"/>
    <x v="1"/>
    <x v="1"/>
    <x v="1"/>
    <x v="0"/>
    <x v="26"/>
    <x v="0"/>
    <n v="1"/>
  </r>
  <r>
    <n v="10105"/>
    <x v="28"/>
    <x v="3"/>
    <x v="4"/>
    <s v="Domestic"/>
    <n v="1"/>
    <n v="1"/>
    <x v="0"/>
    <x v="0"/>
    <x v="5"/>
    <x v="7"/>
    <x v="0"/>
    <x v="27"/>
    <x v="0"/>
    <n v="1"/>
  </r>
  <r>
    <n v="10555"/>
    <x v="29"/>
    <x v="4"/>
    <x v="0"/>
    <s v="Domestic"/>
    <n v="1"/>
    <n v="1"/>
    <x v="0"/>
    <x v="1"/>
    <x v="2"/>
    <x v="8"/>
    <x v="0"/>
    <x v="28"/>
    <x v="0"/>
    <n v="1"/>
  </r>
  <r>
    <n v="10555"/>
    <x v="29"/>
    <x v="4"/>
    <x v="0"/>
    <s v="Domestic"/>
    <n v="1"/>
    <n v="1"/>
    <x v="0"/>
    <x v="0"/>
    <x v="3"/>
    <x v="7"/>
    <x v="0"/>
    <x v="29"/>
    <x v="0"/>
    <n v="1"/>
  </r>
  <r>
    <n v="10555"/>
    <x v="29"/>
    <x v="4"/>
    <x v="0"/>
    <s v="Domestic"/>
    <n v="1"/>
    <n v="1"/>
    <x v="0"/>
    <x v="0"/>
    <x v="5"/>
    <x v="9"/>
    <x v="0"/>
    <x v="30"/>
    <x v="0"/>
    <n v="1"/>
  </r>
  <r>
    <n v="10546"/>
    <x v="30"/>
    <x v="5"/>
    <x v="1"/>
    <s v="Domestic"/>
    <n v="20"/>
    <n v="75"/>
    <x v="2"/>
    <x v="0"/>
    <x v="0"/>
    <x v="0"/>
    <x v="0"/>
    <x v="2"/>
    <x v="0"/>
    <n v="1"/>
  </r>
  <r>
    <n v="10546"/>
    <x v="30"/>
    <x v="5"/>
    <x v="1"/>
    <s v="Domestic"/>
    <n v="20"/>
    <n v="75"/>
    <x v="2"/>
    <x v="2"/>
    <x v="4"/>
    <x v="6"/>
    <x v="0"/>
    <x v="24"/>
    <x v="0"/>
    <n v="1"/>
  </r>
  <r>
    <n v="10547"/>
    <x v="31"/>
    <x v="5"/>
    <x v="1"/>
    <s v="Domestic"/>
    <n v="10"/>
    <n v="48"/>
    <x v="2"/>
    <x v="0"/>
    <x v="0"/>
    <x v="0"/>
    <x v="0"/>
    <x v="2"/>
    <x v="0"/>
    <n v="1"/>
  </r>
  <r>
    <n v="10547"/>
    <x v="31"/>
    <x v="5"/>
    <x v="1"/>
    <s v="Domestic"/>
    <n v="10"/>
    <n v="48"/>
    <x v="2"/>
    <x v="2"/>
    <x v="4"/>
    <x v="6"/>
    <x v="0"/>
    <x v="24"/>
    <x v="0"/>
    <n v="1"/>
  </r>
  <r>
    <n v="10376"/>
    <x v="32"/>
    <x v="6"/>
    <x v="5"/>
    <s v="Domestic"/>
    <n v="96"/>
    <n v="1"/>
    <x v="0"/>
    <x v="0"/>
    <x v="3"/>
    <x v="10"/>
    <x v="0"/>
    <x v="31"/>
    <x v="0"/>
    <n v="1"/>
  </r>
  <r>
    <n v="10376"/>
    <x v="32"/>
    <x v="6"/>
    <x v="5"/>
    <s v="Domestic"/>
    <n v="96"/>
    <n v="1"/>
    <x v="1"/>
    <x v="1"/>
    <x v="1"/>
    <x v="1"/>
    <x v="0"/>
    <x v="32"/>
    <x v="0"/>
    <n v="1"/>
  </r>
  <r>
    <n v="10377"/>
    <x v="33"/>
    <x v="6"/>
    <x v="5"/>
    <s v="Domestic"/>
    <n v="96"/>
    <n v="1"/>
    <x v="0"/>
    <x v="0"/>
    <x v="3"/>
    <x v="10"/>
    <x v="0"/>
    <x v="31"/>
    <x v="0"/>
    <n v="1"/>
  </r>
  <r>
    <n v="10377"/>
    <x v="33"/>
    <x v="6"/>
    <x v="5"/>
    <s v="Domestic"/>
    <n v="96"/>
    <n v="1"/>
    <x v="1"/>
    <x v="1"/>
    <x v="1"/>
    <x v="1"/>
    <x v="0"/>
    <x v="32"/>
    <x v="0"/>
    <n v="1"/>
  </r>
  <r>
    <n v="10378"/>
    <x v="34"/>
    <x v="6"/>
    <x v="5"/>
    <s v="Domestic"/>
    <n v="96"/>
    <n v="1"/>
    <x v="0"/>
    <x v="0"/>
    <x v="3"/>
    <x v="10"/>
    <x v="0"/>
    <x v="31"/>
    <x v="0"/>
    <n v="1"/>
  </r>
  <r>
    <n v="10378"/>
    <x v="34"/>
    <x v="6"/>
    <x v="5"/>
    <s v="Domestic"/>
    <n v="96"/>
    <n v="1"/>
    <x v="1"/>
    <x v="1"/>
    <x v="1"/>
    <x v="1"/>
    <x v="0"/>
    <x v="32"/>
    <x v="0"/>
    <n v="1"/>
  </r>
  <r>
    <n v="10379"/>
    <x v="35"/>
    <x v="6"/>
    <x v="5"/>
    <s v="Domestic"/>
    <n v="96"/>
    <n v="1"/>
    <x v="0"/>
    <x v="0"/>
    <x v="3"/>
    <x v="10"/>
    <x v="0"/>
    <x v="31"/>
    <x v="0"/>
    <n v="1"/>
  </r>
  <r>
    <n v="10379"/>
    <x v="35"/>
    <x v="6"/>
    <x v="5"/>
    <s v="Domestic"/>
    <n v="96"/>
    <n v="1"/>
    <x v="1"/>
    <x v="1"/>
    <x v="1"/>
    <x v="1"/>
    <x v="0"/>
    <x v="32"/>
    <x v="0"/>
    <n v="1"/>
  </r>
  <r>
    <n v="10385"/>
    <x v="36"/>
    <x v="6"/>
    <x v="5"/>
    <s v="Domestic"/>
    <n v="96"/>
    <n v="1"/>
    <x v="0"/>
    <x v="0"/>
    <x v="3"/>
    <x v="10"/>
    <x v="0"/>
    <x v="31"/>
    <x v="0"/>
    <n v="1"/>
  </r>
  <r>
    <n v="10385"/>
    <x v="36"/>
    <x v="6"/>
    <x v="5"/>
    <s v="Domestic"/>
    <n v="96"/>
    <n v="1"/>
    <x v="1"/>
    <x v="1"/>
    <x v="1"/>
    <x v="1"/>
    <x v="0"/>
    <x v="32"/>
    <x v="0"/>
    <n v="1"/>
  </r>
  <r>
    <n v="2515"/>
    <x v="37"/>
    <x v="7"/>
    <x v="0"/>
    <s v="Domestic"/>
    <n v="1"/>
    <n v="200"/>
    <x v="0"/>
    <x v="1"/>
    <x v="2"/>
    <x v="0"/>
    <x v="0"/>
    <x v="33"/>
    <x v="0"/>
    <n v="1"/>
  </r>
  <r>
    <n v="2515"/>
    <x v="37"/>
    <x v="7"/>
    <x v="0"/>
    <s v="Domestic"/>
    <n v="1"/>
    <n v="200"/>
    <x v="1"/>
    <x v="1"/>
    <x v="1"/>
    <x v="1"/>
    <x v="0"/>
    <x v="34"/>
    <x v="0"/>
    <n v="1"/>
  </r>
  <r>
    <n v="2515"/>
    <x v="37"/>
    <x v="7"/>
    <x v="0"/>
    <s v="Domestic"/>
    <n v="1"/>
    <n v="200"/>
    <x v="1"/>
    <x v="0"/>
    <x v="0"/>
    <x v="2"/>
    <x v="0"/>
    <x v="35"/>
    <x v="0"/>
    <n v="1"/>
  </r>
  <r>
    <n v="2515"/>
    <x v="37"/>
    <x v="7"/>
    <x v="0"/>
    <s v="Domestic"/>
    <n v="1"/>
    <n v="200"/>
    <x v="2"/>
    <x v="0"/>
    <x v="0"/>
    <x v="2"/>
    <x v="0"/>
    <x v="2"/>
    <x v="0"/>
    <n v="1"/>
  </r>
  <r>
    <n v="5955"/>
    <x v="38"/>
    <x v="8"/>
    <x v="0"/>
    <s v="Domestic"/>
    <n v="4"/>
    <n v="40"/>
    <x v="0"/>
    <x v="1"/>
    <x v="2"/>
    <x v="8"/>
    <x v="0"/>
    <x v="18"/>
    <x v="0"/>
    <n v="1"/>
  </r>
  <r>
    <n v="5955"/>
    <x v="38"/>
    <x v="8"/>
    <x v="0"/>
    <s v="Domestic"/>
    <n v="4"/>
    <n v="40"/>
    <x v="0"/>
    <x v="0"/>
    <x v="5"/>
    <x v="9"/>
    <x v="0"/>
    <x v="36"/>
    <x v="0"/>
    <n v="1"/>
  </r>
  <r>
    <n v="5955"/>
    <x v="38"/>
    <x v="8"/>
    <x v="0"/>
    <s v="Domestic"/>
    <n v="4"/>
    <n v="40"/>
    <x v="2"/>
    <x v="0"/>
    <x v="0"/>
    <x v="2"/>
    <x v="0"/>
    <x v="2"/>
    <x v="0"/>
    <n v="1"/>
  </r>
  <r>
    <n v="2460"/>
    <x v="39"/>
    <x v="9"/>
    <x v="6"/>
    <s v="Domestic"/>
    <n v="1"/>
    <n v="105"/>
    <x v="0"/>
    <x v="1"/>
    <x v="2"/>
    <x v="11"/>
    <x v="0"/>
    <x v="2"/>
    <x v="0"/>
    <n v="1"/>
  </r>
  <r>
    <n v="2460"/>
    <x v="39"/>
    <x v="9"/>
    <x v="6"/>
    <s v="Domestic"/>
    <n v="1"/>
    <n v="105"/>
    <x v="1"/>
    <x v="1"/>
    <x v="1"/>
    <x v="1"/>
    <x v="0"/>
    <x v="37"/>
    <x v="0"/>
    <n v="1"/>
  </r>
  <r>
    <n v="2465"/>
    <x v="40"/>
    <x v="9"/>
    <x v="6"/>
    <s v="Domestic"/>
    <n v="1"/>
    <n v="105"/>
    <x v="0"/>
    <x v="1"/>
    <x v="2"/>
    <x v="11"/>
    <x v="0"/>
    <x v="2"/>
    <x v="0"/>
    <n v="1"/>
  </r>
  <r>
    <n v="2465"/>
    <x v="40"/>
    <x v="9"/>
    <x v="6"/>
    <s v="Domestic"/>
    <n v="1"/>
    <n v="105"/>
    <x v="1"/>
    <x v="1"/>
    <x v="1"/>
    <x v="1"/>
    <x v="0"/>
    <x v="37"/>
    <x v="0"/>
    <n v="1"/>
  </r>
  <r>
    <n v="2470"/>
    <x v="41"/>
    <x v="9"/>
    <x v="6"/>
    <s v="Domestic"/>
    <n v="1"/>
    <n v="105"/>
    <x v="0"/>
    <x v="1"/>
    <x v="2"/>
    <x v="11"/>
    <x v="0"/>
    <x v="38"/>
    <x v="0"/>
    <n v="1"/>
  </r>
  <r>
    <n v="2470"/>
    <x v="41"/>
    <x v="9"/>
    <x v="6"/>
    <s v="Domestic"/>
    <n v="1"/>
    <n v="105"/>
    <x v="1"/>
    <x v="1"/>
    <x v="1"/>
    <x v="1"/>
    <x v="0"/>
    <x v="37"/>
    <x v="0"/>
    <n v="1"/>
  </r>
  <r>
    <n v="2475"/>
    <x v="42"/>
    <x v="9"/>
    <x v="6"/>
    <s v="Domestic"/>
    <n v="1"/>
    <n v="105"/>
    <x v="0"/>
    <x v="1"/>
    <x v="2"/>
    <x v="11"/>
    <x v="0"/>
    <x v="38"/>
    <x v="0"/>
    <n v="1"/>
  </r>
  <r>
    <n v="2475"/>
    <x v="42"/>
    <x v="9"/>
    <x v="6"/>
    <s v="Domestic"/>
    <n v="1"/>
    <n v="105"/>
    <x v="1"/>
    <x v="1"/>
    <x v="1"/>
    <x v="1"/>
    <x v="0"/>
    <x v="37"/>
    <x v="0"/>
    <n v="1"/>
  </r>
  <r>
    <n v="2480"/>
    <x v="43"/>
    <x v="9"/>
    <x v="6"/>
    <s v="Domestic"/>
    <n v="1"/>
    <n v="248"/>
    <x v="0"/>
    <x v="1"/>
    <x v="2"/>
    <x v="11"/>
    <x v="0"/>
    <x v="2"/>
    <x v="0"/>
    <n v="1"/>
  </r>
  <r>
    <n v="2480"/>
    <x v="43"/>
    <x v="9"/>
    <x v="6"/>
    <s v="Domestic"/>
    <n v="1"/>
    <n v="248"/>
    <x v="1"/>
    <x v="1"/>
    <x v="1"/>
    <x v="1"/>
    <x v="0"/>
    <x v="39"/>
    <x v="0"/>
    <n v="1"/>
  </r>
  <r>
    <n v="2485"/>
    <x v="44"/>
    <x v="9"/>
    <x v="6"/>
    <s v="Domestic"/>
    <n v="1"/>
    <n v="248"/>
    <x v="0"/>
    <x v="1"/>
    <x v="2"/>
    <x v="11"/>
    <x v="0"/>
    <x v="2"/>
    <x v="0"/>
    <n v="1"/>
  </r>
  <r>
    <n v="2485"/>
    <x v="44"/>
    <x v="9"/>
    <x v="6"/>
    <s v="Domestic"/>
    <n v="1"/>
    <n v="248"/>
    <x v="1"/>
    <x v="1"/>
    <x v="1"/>
    <x v="1"/>
    <x v="0"/>
    <x v="39"/>
    <x v="0"/>
    <n v="1"/>
  </r>
  <r>
    <n v="10148"/>
    <x v="45"/>
    <x v="10"/>
    <x v="0"/>
    <s v="Domestic"/>
    <n v="6"/>
    <n v="1"/>
    <x v="0"/>
    <x v="1"/>
    <x v="2"/>
    <x v="8"/>
    <x v="0"/>
    <x v="40"/>
    <x v="0"/>
    <n v="1"/>
  </r>
  <r>
    <n v="10148"/>
    <x v="45"/>
    <x v="10"/>
    <x v="0"/>
    <s v="Domestic"/>
    <n v="6"/>
    <n v="1"/>
    <x v="0"/>
    <x v="3"/>
    <x v="6"/>
    <x v="12"/>
    <x v="0"/>
    <x v="41"/>
    <x v="0"/>
    <n v="1"/>
  </r>
  <r>
    <n v="10148"/>
    <x v="45"/>
    <x v="10"/>
    <x v="0"/>
    <s v="Domestic"/>
    <n v="6"/>
    <n v="1"/>
    <x v="1"/>
    <x v="1"/>
    <x v="1"/>
    <x v="1"/>
    <x v="0"/>
    <x v="42"/>
    <x v="0"/>
    <n v="1"/>
  </r>
  <r>
    <n v="1090"/>
    <x v="46"/>
    <x v="11"/>
    <x v="5"/>
    <s v="Domestic"/>
    <n v="12"/>
    <n v="176"/>
    <x v="0"/>
    <x v="1"/>
    <x v="2"/>
    <x v="8"/>
    <x v="0"/>
    <x v="43"/>
    <x v="0"/>
    <n v="1"/>
  </r>
  <r>
    <n v="1090"/>
    <x v="46"/>
    <x v="11"/>
    <x v="5"/>
    <s v="Domestic"/>
    <n v="12"/>
    <n v="176"/>
    <x v="0"/>
    <x v="3"/>
    <x v="6"/>
    <x v="12"/>
    <x v="0"/>
    <x v="44"/>
    <x v="0"/>
    <n v="1"/>
  </r>
  <r>
    <n v="1090"/>
    <x v="46"/>
    <x v="11"/>
    <x v="5"/>
    <s v="Domestic"/>
    <n v="12"/>
    <n v="176"/>
    <x v="1"/>
    <x v="1"/>
    <x v="1"/>
    <x v="1"/>
    <x v="0"/>
    <x v="45"/>
    <x v="0"/>
    <n v="1"/>
  </r>
  <r>
    <n v="1090"/>
    <x v="46"/>
    <x v="11"/>
    <x v="5"/>
    <s v="Domestic"/>
    <n v="12"/>
    <n v="176"/>
    <x v="1"/>
    <x v="0"/>
    <x v="0"/>
    <x v="2"/>
    <x v="0"/>
    <x v="46"/>
    <x v="0"/>
    <n v="1"/>
  </r>
  <r>
    <n v="1155"/>
    <x v="47"/>
    <x v="11"/>
    <x v="5"/>
    <s v="Domestic"/>
    <n v="12"/>
    <n v="176"/>
    <x v="0"/>
    <x v="1"/>
    <x v="2"/>
    <x v="8"/>
    <x v="0"/>
    <x v="43"/>
    <x v="0"/>
    <n v="1"/>
  </r>
  <r>
    <n v="1155"/>
    <x v="47"/>
    <x v="11"/>
    <x v="5"/>
    <s v="Domestic"/>
    <n v="12"/>
    <n v="176"/>
    <x v="0"/>
    <x v="3"/>
    <x v="6"/>
    <x v="12"/>
    <x v="0"/>
    <x v="44"/>
    <x v="0"/>
    <n v="1"/>
  </r>
  <r>
    <n v="1155"/>
    <x v="47"/>
    <x v="11"/>
    <x v="5"/>
    <s v="Domestic"/>
    <n v="12"/>
    <n v="176"/>
    <x v="1"/>
    <x v="1"/>
    <x v="1"/>
    <x v="1"/>
    <x v="0"/>
    <x v="45"/>
    <x v="0"/>
    <n v="1"/>
  </r>
  <r>
    <n v="1155"/>
    <x v="47"/>
    <x v="11"/>
    <x v="5"/>
    <s v="Domestic"/>
    <n v="12"/>
    <n v="176"/>
    <x v="1"/>
    <x v="0"/>
    <x v="0"/>
    <x v="2"/>
    <x v="0"/>
    <x v="46"/>
    <x v="0"/>
    <n v="1"/>
  </r>
  <r>
    <n v="1160"/>
    <x v="48"/>
    <x v="11"/>
    <x v="5"/>
    <s v="Domestic"/>
    <n v="12"/>
    <n v="176"/>
    <x v="0"/>
    <x v="1"/>
    <x v="2"/>
    <x v="8"/>
    <x v="0"/>
    <x v="43"/>
    <x v="0"/>
    <n v="1"/>
  </r>
  <r>
    <n v="1160"/>
    <x v="48"/>
    <x v="11"/>
    <x v="5"/>
    <s v="Domestic"/>
    <n v="12"/>
    <n v="176"/>
    <x v="0"/>
    <x v="3"/>
    <x v="6"/>
    <x v="12"/>
    <x v="0"/>
    <x v="44"/>
    <x v="0"/>
    <n v="1"/>
  </r>
  <r>
    <n v="1160"/>
    <x v="48"/>
    <x v="11"/>
    <x v="5"/>
    <s v="Domestic"/>
    <n v="12"/>
    <n v="176"/>
    <x v="1"/>
    <x v="1"/>
    <x v="1"/>
    <x v="1"/>
    <x v="0"/>
    <x v="45"/>
    <x v="0"/>
    <n v="1"/>
  </r>
  <r>
    <n v="1160"/>
    <x v="48"/>
    <x v="11"/>
    <x v="5"/>
    <s v="Domestic"/>
    <n v="12"/>
    <n v="176"/>
    <x v="1"/>
    <x v="0"/>
    <x v="0"/>
    <x v="2"/>
    <x v="0"/>
    <x v="46"/>
    <x v="0"/>
    <n v="1"/>
  </r>
  <r>
    <n v="1165"/>
    <x v="49"/>
    <x v="11"/>
    <x v="5"/>
    <s v="Domestic"/>
    <n v="12"/>
    <n v="176"/>
    <x v="0"/>
    <x v="1"/>
    <x v="2"/>
    <x v="8"/>
    <x v="0"/>
    <x v="43"/>
    <x v="0"/>
    <n v="1"/>
  </r>
  <r>
    <n v="1165"/>
    <x v="49"/>
    <x v="11"/>
    <x v="5"/>
    <s v="Domestic"/>
    <n v="12"/>
    <n v="176"/>
    <x v="0"/>
    <x v="3"/>
    <x v="6"/>
    <x v="12"/>
    <x v="0"/>
    <x v="44"/>
    <x v="0"/>
    <n v="1"/>
  </r>
  <r>
    <n v="1165"/>
    <x v="49"/>
    <x v="11"/>
    <x v="5"/>
    <s v="Domestic"/>
    <n v="12"/>
    <n v="176"/>
    <x v="1"/>
    <x v="1"/>
    <x v="1"/>
    <x v="1"/>
    <x v="0"/>
    <x v="45"/>
    <x v="0"/>
    <n v="1"/>
  </r>
  <r>
    <n v="1165"/>
    <x v="49"/>
    <x v="11"/>
    <x v="5"/>
    <s v="Domestic"/>
    <n v="12"/>
    <n v="176"/>
    <x v="1"/>
    <x v="0"/>
    <x v="0"/>
    <x v="2"/>
    <x v="0"/>
    <x v="46"/>
    <x v="0"/>
    <n v="1"/>
  </r>
  <r>
    <n v="10231"/>
    <x v="50"/>
    <x v="11"/>
    <x v="0"/>
    <s v="Domestic"/>
    <n v="24"/>
    <n v="99"/>
    <x v="0"/>
    <x v="1"/>
    <x v="2"/>
    <x v="8"/>
    <x v="0"/>
    <x v="18"/>
    <x v="0"/>
    <n v="1"/>
  </r>
  <r>
    <n v="10231"/>
    <x v="50"/>
    <x v="11"/>
    <x v="0"/>
    <s v="Domestic"/>
    <n v="24"/>
    <n v="99"/>
    <x v="0"/>
    <x v="3"/>
    <x v="6"/>
    <x v="12"/>
    <x v="0"/>
    <x v="47"/>
    <x v="0"/>
    <n v="1"/>
  </r>
  <r>
    <n v="10231"/>
    <x v="50"/>
    <x v="11"/>
    <x v="0"/>
    <s v="Domestic"/>
    <n v="24"/>
    <n v="99"/>
    <x v="1"/>
    <x v="1"/>
    <x v="1"/>
    <x v="1"/>
    <x v="0"/>
    <x v="48"/>
    <x v="0"/>
    <n v="1"/>
  </r>
  <r>
    <n v="10231"/>
    <x v="50"/>
    <x v="11"/>
    <x v="0"/>
    <s v="Domestic"/>
    <n v="24"/>
    <n v="99"/>
    <x v="1"/>
    <x v="0"/>
    <x v="0"/>
    <x v="2"/>
    <x v="0"/>
    <x v="49"/>
    <x v="0"/>
    <n v="1"/>
  </r>
  <r>
    <n v="10231"/>
    <x v="50"/>
    <x v="11"/>
    <x v="0"/>
    <s v="Domestic"/>
    <n v="24"/>
    <n v="99"/>
    <x v="2"/>
    <x v="0"/>
    <x v="0"/>
    <x v="2"/>
    <x v="0"/>
    <x v="2"/>
    <x v="0"/>
    <n v="1"/>
  </r>
  <r>
    <n v="10232"/>
    <x v="51"/>
    <x v="11"/>
    <x v="0"/>
    <s v="Domestic"/>
    <n v="24"/>
    <n v="99"/>
    <x v="0"/>
    <x v="1"/>
    <x v="2"/>
    <x v="8"/>
    <x v="0"/>
    <x v="18"/>
    <x v="0"/>
    <n v="1"/>
  </r>
  <r>
    <n v="10232"/>
    <x v="51"/>
    <x v="11"/>
    <x v="0"/>
    <s v="Domestic"/>
    <n v="24"/>
    <n v="99"/>
    <x v="0"/>
    <x v="3"/>
    <x v="6"/>
    <x v="12"/>
    <x v="0"/>
    <x v="50"/>
    <x v="0"/>
    <n v="1"/>
  </r>
  <r>
    <n v="10232"/>
    <x v="51"/>
    <x v="11"/>
    <x v="0"/>
    <s v="Domestic"/>
    <n v="24"/>
    <n v="99"/>
    <x v="1"/>
    <x v="1"/>
    <x v="1"/>
    <x v="1"/>
    <x v="0"/>
    <x v="48"/>
    <x v="0"/>
    <n v="1"/>
  </r>
  <r>
    <n v="10232"/>
    <x v="51"/>
    <x v="11"/>
    <x v="0"/>
    <s v="Domestic"/>
    <n v="24"/>
    <n v="99"/>
    <x v="1"/>
    <x v="0"/>
    <x v="0"/>
    <x v="2"/>
    <x v="0"/>
    <x v="51"/>
    <x v="0"/>
    <n v="1"/>
  </r>
  <r>
    <n v="10232"/>
    <x v="51"/>
    <x v="11"/>
    <x v="0"/>
    <s v="Domestic"/>
    <n v="24"/>
    <n v="99"/>
    <x v="2"/>
    <x v="0"/>
    <x v="0"/>
    <x v="2"/>
    <x v="0"/>
    <x v="2"/>
    <x v="0"/>
    <n v="1"/>
  </r>
  <r>
    <n v="10524"/>
    <x v="52"/>
    <x v="11"/>
    <x v="5"/>
    <s v="Domestic"/>
    <n v="12"/>
    <n v="176"/>
    <x v="0"/>
    <x v="1"/>
    <x v="2"/>
    <x v="8"/>
    <x v="0"/>
    <x v="43"/>
    <x v="0"/>
    <n v="1"/>
  </r>
  <r>
    <n v="10524"/>
    <x v="52"/>
    <x v="11"/>
    <x v="5"/>
    <s v="Domestic"/>
    <n v="12"/>
    <n v="176"/>
    <x v="0"/>
    <x v="3"/>
    <x v="6"/>
    <x v="12"/>
    <x v="0"/>
    <x v="44"/>
    <x v="0"/>
    <n v="1"/>
  </r>
  <r>
    <n v="10524"/>
    <x v="52"/>
    <x v="11"/>
    <x v="5"/>
    <s v="Domestic"/>
    <n v="12"/>
    <n v="176"/>
    <x v="1"/>
    <x v="1"/>
    <x v="1"/>
    <x v="1"/>
    <x v="0"/>
    <x v="45"/>
    <x v="0"/>
    <n v="1"/>
  </r>
  <r>
    <n v="10524"/>
    <x v="52"/>
    <x v="11"/>
    <x v="5"/>
    <s v="Domestic"/>
    <n v="12"/>
    <n v="176"/>
    <x v="1"/>
    <x v="0"/>
    <x v="0"/>
    <x v="2"/>
    <x v="0"/>
    <x v="46"/>
    <x v="0"/>
    <n v="1"/>
  </r>
  <r>
    <n v="10037"/>
    <x v="53"/>
    <x v="12"/>
    <x v="0"/>
    <s v="Domestic"/>
    <n v="8"/>
    <n v="63"/>
    <x v="0"/>
    <x v="1"/>
    <x v="2"/>
    <x v="0"/>
    <x v="0"/>
    <x v="52"/>
    <x v="0"/>
    <n v="1"/>
  </r>
  <r>
    <n v="10037"/>
    <x v="53"/>
    <x v="12"/>
    <x v="0"/>
    <s v="Domestic"/>
    <n v="8"/>
    <n v="63"/>
    <x v="1"/>
    <x v="0"/>
    <x v="0"/>
    <x v="2"/>
    <x v="0"/>
    <x v="53"/>
    <x v="0"/>
    <n v="1"/>
  </r>
  <r>
    <n v="10037"/>
    <x v="53"/>
    <x v="12"/>
    <x v="0"/>
    <s v="Domestic"/>
    <n v="8"/>
    <n v="63"/>
    <x v="2"/>
    <x v="0"/>
    <x v="0"/>
    <x v="2"/>
    <x v="0"/>
    <x v="2"/>
    <x v="0"/>
    <n v="1"/>
  </r>
  <r>
    <n v="10038"/>
    <x v="54"/>
    <x v="12"/>
    <x v="0"/>
    <s v="Domestic"/>
    <n v="8"/>
    <n v="63"/>
    <x v="0"/>
    <x v="1"/>
    <x v="2"/>
    <x v="0"/>
    <x v="0"/>
    <x v="52"/>
    <x v="0"/>
    <n v="1"/>
  </r>
  <r>
    <n v="10038"/>
    <x v="54"/>
    <x v="12"/>
    <x v="0"/>
    <s v="Domestic"/>
    <n v="8"/>
    <n v="63"/>
    <x v="1"/>
    <x v="0"/>
    <x v="0"/>
    <x v="2"/>
    <x v="0"/>
    <x v="53"/>
    <x v="0"/>
    <n v="1"/>
  </r>
  <r>
    <n v="10038"/>
    <x v="54"/>
    <x v="12"/>
    <x v="0"/>
    <s v="Domestic"/>
    <n v="8"/>
    <n v="63"/>
    <x v="2"/>
    <x v="0"/>
    <x v="0"/>
    <x v="2"/>
    <x v="0"/>
    <x v="2"/>
    <x v="0"/>
    <n v="1"/>
  </r>
  <r>
    <n v="10039"/>
    <x v="55"/>
    <x v="12"/>
    <x v="0"/>
    <s v="Domestic"/>
    <n v="8"/>
    <n v="63"/>
    <x v="0"/>
    <x v="1"/>
    <x v="2"/>
    <x v="0"/>
    <x v="0"/>
    <x v="52"/>
    <x v="0"/>
    <n v="1"/>
  </r>
  <r>
    <n v="10039"/>
    <x v="55"/>
    <x v="12"/>
    <x v="0"/>
    <s v="Domestic"/>
    <n v="8"/>
    <n v="63"/>
    <x v="1"/>
    <x v="0"/>
    <x v="0"/>
    <x v="2"/>
    <x v="0"/>
    <x v="53"/>
    <x v="0"/>
    <n v="1"/>
  </r>
  <r>
    <n v="10039"/>
    <x v="55"/>
    <x v="12"/>
    <x v="0"/>
    <s v="Domestic"/>
    <n v="8"/>
    <n v="63"/>
    <x v="2"/>
    <x v="0"/>
    <x v="0"/>
    <x v="2"/>
    <x v="0"/>
    <x v="2"/>
    <x v="0"/>
    <n v="1"/>
  </r>
  <r>
    <n v="5245"/>
    <x v="56"/>
    <x v="13"/>
    <x v="7"/>
    <s v="Domestic"/>
    <n v="12"/>
    <n v="40"/>
    <x v="0"/>
    <x v="1"/>
    <x v="1"/>
    <x v="1"/>
    <x v="0"/>
    <x v="54"/>
    <x v="0"/>
    <n v="1"/>
  </r>
  <r>
    <n v="5245"/>
    <x v="56"/>
    <x v="13"/>
    <x v="7"/>
    <s v="Domestic"/>
    <n v="12"/>
    <n v="40"/>
    <x v="0"/>
    <x v="0"/>
    <x v="0"/>
    <x v="2"/>
    <x v="0"/>
    <x v="6"/>
    <x v="0"/>
    <n v="1"/>
  </r>
  <r>
    <n v="5245"/>
    <x v="56"/>
    <x v="13"/>
    <x v="7"/>
    <s v="Domestic"/>
    <n v="12"/>
    <n v="40"/>
    <x v="1"/>
    <x v="1"/>
    <x v="1"/>
    <x v="1"/>
    <x v="0"/>
    <x v="55"/>
    <x v="0"/>
    <n v="1"/>
  </r>
  <r>
    <n v="5250"/>
    <x v="57"/>
    <x v="13"/>
    <x v="7"/>
    <s v="Domestic"/>
    <n v="12"/>
    <n v="95"/>
    <x v="0"/>
    <x v="1"/>
    <x v="1"/>
    <x v="1"/>
    <x v="0"/>
    <x v="56"/>
    <x v="0"/>
    <n v="1"/>
  </r>
  <r>
    <n v="5250"/>
    <x v="57"/>
    <x v="13"/>
    <x v="7"/>
    <s v="Domestic"/>
    <n v="12"/>
    <n v="95"/>
    <x v="0"/>
    <x v="0"/>
    <x v="0"/>
    <x v="2"/>
    <x v="0"/>
    <x v="57"/>
    <x v="0"/>
    <n v="1"/>
  </r>
  <r>
    <n v="5250"/>
    <x v="57"/>
    <x v="13"/>
    <x v="7"/>
    <s v="Domestic"/>
    <n v="12"/>
    <n v="95"/>
    <x v="1"/>
    <x v="1"/>
    <x v="1"/>
    <x v="1"/>
    <x v="0"/>
    <x v="58"/>
    <x v="0"/>
    <n v="1"/>
  </r>
  <r>
    <n v="10457"/>
    <x v="58"/>
    <x v="13"/>
    <x v="7"/>
    <s v="Domestic"/>
    <n v="15"/>
    <n v="45"/>
    <x v="1"/>
    <x v="1"/>
    <x v="1"/>
    <x v="1"/>
    <x v="0"/>
    <x v="59"/>
    <x v="0"/>
    <n v="1"/>
  </r>
  <r>
    <n v="10599"/>
    <x v="59"/>
    <x v="13"/>
    <x v="8"/>
    <s v="Domestic"/>
    <n v="15"/>
    <n v="45"/>
    <x v="1"/>
    <x v="1"/>
    <x v="1"/>
    <x v="1"/>
    <x v="0"/>
    <x v="59"/>
    <x v="0"/>
    <n v="1"/>
  </r>
  <r>
    <n v="10604"/>
    <x v="60"/>
    <x v="13"/>
    <x v="9"/>
    <s v="Domestic"/>
    <n v="16"/>
    <n v="95"/>
    <x v="0"/>
    <x v="1"/>
    <x v="1"/>
    <x v="1"/>
    <x v="0"/>
    <x v="56"/>
    <x v="0"/>
    <n v="1"/>
  </r>
  <r>
    <n v="10604"/>
    <x v="60"/>
    <x v="13"/>
    <x v="9"/>
    <s v="Domestic"/>
    <n v="16"/>
    <n v="95"/>
    <x v="0"/>
    <x v="0"/>
    <x v="0"/>
    <x v="2"/>
    <x v="0"/>
    <x v="57"/>
    <x v="0"/>
    <n v="1"/>
  </r>
  <r>
    <n v="10604"/>
    <x v="60"/>
    <x v="13"/>
    <x v="9"/>
    <s v="Domestic"/>
    <n v="16"/>
    <n v="95"/>
    <x v="1"/>
    <x v="1"/>
    <x v="1"/>
    <x v="1"/>
    <x v="0"/>
    <x v="58"/>
    <x v="0"/>
    <n v="1"/>
  </r>
  <r>
    <n v="10605"/>
    <x v="61"/>
    <x v="13"/>
    <x v="9"/>
    <s v="Domestic"/>
    <n v="12"/>
    <n v="40"/>
    <x v="0"/>
    <x v="1"/>
    <x v="1"/>
    <x v="1"/>
    <x v="0"/>
    <x v="54"/>
    <x v="0"/>
    <n v="1"/>
  </r>
  <r>
    <n v="10605"/>
    <x v="61"/>
    <x v="13"/>
    <x v="9"/>
    <s v="Domestic"/>
    <n v="12"/>
    <n v="40"/>
    <x v="0"/>
    <x v="0"/>
    <x v="0"/>
    <x v="2"/>
    <x v="0"/>
    <x v="6"/>
    <x v="0"/>
    <n v="1"/>
  </r>
  <r>
    <n v="10605"/>
    <x v="61"/>
    <x v="13"/>
    <x v="9"/>
    <s v="Domestic"/>
    <n v="12"/>
    <n v="40"/>
    <x v="1"/>
    <x v="1"/>
    <x v="1"/>
    <x v="1"/>
    <x v="0"/>
    <x v="55"/>
    <x v="0"/>
    <n v="1"/>
  </r>
  <r>
    <n v="1280"/>
    <x v="62"/>
    <x v="14"/>
    <x v="10"/>
    <s v="Domestic"/>
    <n v="20"/>
    <n v="1"/>
    <x v="0"/>
    <x v="0"/>
    <x v="0"/>
    <x v="0"/>
    <x v="0"/>
    <x v="60"/>
    <x v="0"/>
    <n v="1"/>
  </r>
  <r>
    <n v="1280"/>
    <x v="62"/>
    <x v="14"/>
    <x v="10"/>
    <s v="Domestic"/>
    <n v="20"/>
    <n v="1"/>
    <x v="1"/>
    <x v="1"/>
    <x v="1"/>
    <x v="1"/>
    <x v="0"/>
    <x v="61"/>
    <x v="0"/>
    <n v="1"/>
  </r>
  <r>
    <n v="1300"/>
    <x v="63"/>
    <x v="14"/>
    <x v="10"/>
    <s v="Domestic"/>
    <n v="40"/>
    <n v="1"/>
    <x v="0"/>
    <x v="1"/>
    <x v="1"/>
    <x v="1"/>
    <x v="0"/>
    <x v="20"/>
    <x v="0"/>
    <n v="1"/>
  </r>
  <r>
    <n v="1300"/>
    <x v="63"/>
    <x v="14"/>
    <x v="10"/>
    <s v="Domestic"/>
    <n v="40"/>
    <n v="1"/>
    <x v="1"/>
    <x v="1"/>
    <x v="1"/>
    <x v="1"/>
    <x v="0"/>
    <x v="62"/>
    <x v="0"/>
    <n v="1"/>
  </r>
  <r>
    <n v="1250"/>
    <x v="64"/>
    <x v="14"/>
    <x v="10"/>
    <s v="Domestic"/>
    <n v="24"/>
    <n v="80"/>
    <x v="0"/>
    <x v="1"/>
    <x v="1"/>
    <x v="1"/>
    <x v="0"/>
    <x v="20"/>
    <x v="0"/>
    <n v="1"/>
  </r>
  <r>
    <n v="1250"/>
    <x v="64"/>
    <x v="14"/>
    <x v="10"/>
    <s v="Domestic"/>
    <n v="24"/>
    <n v="80"/>
    <x v="0"/>
    <x v="1"/>
    <x v="1"/>
    <x v="5"/>
    <x v="0"/>
    <x v="21"/>
    <x v="0"/>
    <n v="1"/>
  </r>
  <r>
    <n v="1250"/>
    <x v="64"/>
    <x v="14"/>
    <x v="10"/>
    <s v="Domestic"/>
    <n v="24"/>
    <n v="80"/>
    <x v="1"/>
    <x v="1"/>
    <x v="1"/>
    <x v="1"/>
    <x v="0"/>
    <x v="22"/>
    <x v="0"/>
    <n v="1"/>
  </r>
  <r>
    <n v="10165"/>
    <x v="65"/>
    <x v="14"/>
    <x v="11"/>
    <s v="Domestic"/>
    <n v="10"/>
    <n v="180"/>
    <x v="0"/>
    <x v="0"/>
    <x v="0"/>
    <x v="2"/>
    <x v="0"/>
    <x v="63"/>
    <x v="0"/>
    <n v="1"/>
  </r>
  <r>
    <n v="10165"/>
    <x v="65"/>
    <x v="14"/>
    <x v="11"/>
    <s v="Domestic"/>
    <n v="10"/>
    <n v="180"/>
    <x v="1"/>
    <x v="0"/>
    <x v="0"/>
    <x v="2"/>
    <x v="0"/>
    <x v="64"/>
    <x v="0"/>
    <n v="1"/>
  </r>
  <r>
    <n v="10592"/>
    <x v="66"/>
    <x v="14"/>
    <x v="10"/>
    <s v="Domestic"/>
    <n v="20"/>
    <n v="1"/>
    <x v="0"/>
    <x v="1"/>
    <x v="1"/>
    <x v="1"/>
    <x v="0"/>
    <x v="65"/>
    <x v="0"/>
    <n v="1"/>
  </r>
  <r>
    <n v="10592"/>
    <x v="66"/>
    <x v="14"/>
    <x v="10"/>
    <s v="Domestic"/>
    <n v="20"/>
    <n v="1"/>
    <x v="1"/>
    <x v="1"/>
    <x v="1"/>
    <x v="1"/>
    <x v="0"/>
    <x v="66"/>
    <x v="0"/>
    <n v="1"/>
  </r>
  <r>
    <n v="10050"/>
    <x v="67"/>
    <x v="15"/>
    <x v="12"/>
    <s v="Domestic"/>
    <n v="12"/>
    <n v="68"/>
    <x v="0"/>
    <x v="4"/>
    <x v="7"/>
    <x v="13"/>
    <x v="0"/>
    <x v="67"/>
    <x v="0"/>
    <n v="1"/>
  </r>
  <r>
    <n v="10050"/>
    <x v="67"/>
    <x v="15"/>
    <x v="12"/>
    <s v="Domestic"/>
    <n v="12"/>
    <n v="68"/>
    <x v="0"/>
    <x v="4"/>
    <x v="8"/>
    <x v="13"/>
    <x v="0"/>
    <x v="68"/>
    <x v="0"/>
    <n v="1"/>
  </r>
  <r>
    <n v="10050"/>
    <x v="67"/>
    <x v="15"/>
    <x v="12"/>
    <s v="Domestic"/>
    <n v="12"/>
    <n v="68"/>
    <x v="0"/>
    <x v="4"/>
    <x v="9"/>
    <x v="13"/>
    <x v="0"/>
    <x v="69"/>
    <x v="0"/>
    <n v="1"/>
  </r>
  <r>
    <n v="10050"/>
    <x v="67"/>
    <x v="15"/>
    <x v="12"/>
    <s v="Domestic"/>
    <n v="12"/>
    <n v="68"/>
    <x v="0"/>
    <x v="0"/>
    <x v="10"/>
    <x v="14"/>
    <x v="0"/>
    <x v="28"/>
    <x v="0"/>
    <n v="1"/>
  </r>
  <r>
    <n v="10050"/>
    <x v="67"/>
    <x v="15"/>
    <x v="12"/>
    <s v="Domestic"/>
    <n v="12"/>
    <n v="68"/>
    <x v="1"/>
    <x v="1"/>
    <x v="1"/>
    <x v="1"/>
    <x v="0"/>
    <x v="70"/>
    <x v="0"/>
    <n v="1"/>
  </r>
  <r>
    <n v="10051"/>
    <x v="68"/>
    <x v="15"/>
    <x v="12"/>
    <s v="Domestic"/>
    <n v="12"/>
    <n v="68"/>
    <x v="0"/>
    <x v="4"/>
    <x v="7"/>
    <x v="13"/>
    <x v="0"/>
    <x v="67"/>
    <x v="0"/>
    <n v="1"/>
  </r>
  <r>
    <n v="10051"/>
    <x v="68"/>
    <x v="15"/>
    <x v="12"/>
    <s v="Domestic"/>
    <n v="12"/>
    <n v="68"/>
    <x v="0"/>
    <x v="4"/>
    <x v="8"/>
    <x v="13"/>
    <x v="0"/>
    <x v="68"/>
    <x v="0"/>
    <n v="1"/>
  </r>
  <r>
    <n v="10051"/>
    <x v="68"/>
    <x v="15"/>
    <x v="12"/>
    <s v="Domestic"/>
    <n v="12"/>
    <n v="68"/>
    <x v="0"/>
    <x v="4"/>
    <x v="9"/>
    <x v="13"/>
    <x v="0"/>
    <x v="69"/>
    <x v="0"/>
    <n v="1"/>
  </r>
  <r>
    <n v="10051"/>
    <x v="68"/>
    <x v="15"/>
    <x v="12"/>
    <s v="Domestic"/>
    <n v="12"/>
    <n v="68"/>
    <x v="0"/>
    <x v="0"/>
    <x v="10"/>
    <x v="14"/>
    <x v="0"/>
    <x v="28"/>
    <x v="0"/>
    <n v="1"/>
  </r>
  <r>
    <n v="10051"/>
    <x v="68"/>
    <x v="15"/>
    <x v="12"/>
    <s v="Domestic"/>
    <n v="12"/>
    <n v="68"/>
    <x v="1"/>
    <x v="1"/>
    <x v="1"/>
    <x v="1"/>
    <x v="0"/>
    <x v="70"/>
    <x v="0"/>
    <n v="1"/>
  </r>
  <r>
    <n v="10052"/>
    <x v="69"/>
    <x v="15"/>
    <x v="12"/>
    <s v="Domestic"/>
    <n v="12"/>
    <n v="68"/>
    <x v="0"/>
    <x v="4"/>
    <x v="7"/>
    <x v="13"/>
    <x v="0"/>
    <x v="67"/>
    <x v="0"/>
    <n v="1"/>
  </r>
  <r>
    <n v="10052"/>
    <x v="69"/>
    <x v="15"/>
    <x v="12"/>
    <s v="Domestic"/>
    <n v="12"/>
    <n v="68"/>
    <x v="0"/>
    <x v="4"/>
    <x v="8"/>
    <x v="13"/>
    <x v="0"/>
    <x v="68"/>
    <x v="0"/>
    <n v="1"/>
  </r>
  <r>
    <n v="10052"/>
    <x v="69"/>
    <x v="15"/>
    <x v="12"/>
    <s v="Domestic"/>
    <n v="12"/>
    <n v="68"/>
    <x v="0"/>
    <x v="4"/>
    <x v="9"/>
    <x v="13"/>
    <x v="0"/>
    <x v="69"/>
    <x v="0"/>
    <n v="1"/>
  </r>
  <r>
    <n v="10052"/>
    <x v="69"/>
    <x v="15"/>
    <x v="12"/>
    <s v="Domestic"/>
    <n v="12"/>
    <n v="68"/>
    <x v="0"/>
    <x v="0"/>
    <x v="10"/>
    <x v="14"/>
    <x v="0"/>
    <x v="28"/>
    <x v="0"/>
    <n v="1"/>
  </r>
  <r>
    <n v="10052"/>
    <x v="69"/>
    <x v="15"/>
    <x v="12"/>
    <s v="Domestic"/>
    <n v="12"/>
    <n v="68"/>
    <x v="1"/>
    <x v="1"/>
    <x v="1"/>
    <x v="1"/>
    <x v="0"/>
    <x v="70"/>
    <x v="0"/>
    <n v="1"/>
  </r>
  <r>
    <n v="10026"/>
    <x v="70"/>
    <x v="16"/>
    <x v="0"/>
    <s v="Domestic"/>
    <n v="12"/>
    <n v="140"/>
    <x v="0"/>
    <x v="0"/>
    <x v="0"/>
    <x v="2"/>
    <x v="0"/>
    <x v="71"/>
    <x v="0"/>
    <n v="1"/>
  </r>
  <r>
    <n v="10026"/>
    <x v="70"/>
    <x v="16"/>
    <x v="0"/>
    <s v="Domestic"/>
    <n v="12"/>
    <n v="140"/>
    <x v="1"/>
    <x v="1"/>
    <x v="1"/>
    <x v="1"/>
    <x v="0"/>
    <x v="72"/>
    <x v="0"/>
    <n v="1"/>
  </r>
  <r>
    <n v="10026"/>
    <x v="70"/>
    <x v="16"/>
    <x v="0"/>
    <s v="Domestic"/>
    <n v="12"/>
    <n v="140"/>
    <x v="2"/>
    <x v="0"/>
    <x v="0"/>
    <x v="2"/>
    <x v="0"/>
    <x v="2"/>
    <x v="0"/>
    <n v="1"/>
  </r>
  <r>
    <n v="10027"/>
    <x v="71"/>
    <x v="16"/>
    <x v="0"/>
    <s v="Domestic"/>
    <n v="12"/>
    <n v="54"/>
    <x v="0"/>
    <x v="0"/>
    <x v="0"/>
    <x v="2"/>
    <x v="0"/>
    <x v="6"/>
    <x v="0"/>
    <n v="1"/>
  </r>
  <r>
    <n v="10027"/>
    <x v="71"/>
    <x v="16"/>
    <x v="0"/>
    <s v="Domestic"/>
    <n v="12"/>
    <n v="54"/>
    <x v="1"/>
    <x v="1"/>
    <x v="1"/>
    <x v="1"/>
    <x v="0"/>
    <x v="38"/>
    <x v="0"/>
    <n v="1"/>
  </r>
  <r>
    <n v="10027"/>
    <x v="71"/>
    <x v="16"/>
    <x v="0"/>
    <s v="Domestic"/>
    <n v="12"/>
    <n v="54"/>
    <x v="2"/>
    <x v="0"/>
    <x v="0"/>
    <x v="2"/>
    <x v="0"/>
    <x v="2"/>
    <x v="0"/>
    <n v="1"/>
  </r>
  <r>
    <n v="10028"/>
    <x v="72"/>
    <x v="16"/>
    <x v="0"/>
    <s v="Domestic"/>
    <n v="12"/>
    <n v="54"/>
    <x v="0"/>
    <x v="0"/>
    <x v="0"/>
    <x v="2"/>
    <x v="0"/>
    <x v="6"/>
    <x v="0"/>
    <n v="1"/>
  </r>
  <r>
    <n v="10028"/>
    <x v="72"/>
    <x v="16"/>
    <x v="0"/>
    <s v="Domestic"/>
    <n v="12"/>
    <n v="54"/>
    <x v="1"/>
    <x v="1"/>
    <x v="1"/>
    <x v="1"/>
    <x v="0"/>
    <x v="73"/>
    <x v="0"/>
    <n v="1"/>
  </r>
  <r>
    <n v="10028"/>
    <x v="72"/>
    <x v="16"/>
    <x v="0"/>
    <s v="Domestic"/>
    <n v="12"/>
    <n v="54"/>
    <x v="2"/>
    <x v="0"/>
    <x v="0"/>
    <x v="2"/>
    <x v="0"/>
    <x v="2"/>
    <x v="0"/>
    <n v="1"/>
  </r>
  <r>
    <n v="10175"/>
    <x v="73"/>
    <x v="17"/>
    <x v="13"/>
    <s v="Domestic"/>
    <n v="4"/>
    <n v="40"/>
    <x v="0"/>
    <x v="0"/>
    <x v="10"/>
    <x v="0"/>
    <x v="0"/>
    <x v="74"/>
    <x v="0"/>
    <n v="1"/>
  </r>
  <r>
    <n v="10175"/>
    <x v="73"/>
    <x v="17"/>
    <x v="13"/>
    <s v="Domestic"/>
    <n v="4"/>
    <n v="40"/>
    <x v="1"/>
    <x v="0"/>
    <x v="0"/>
    <x v="2"/>
    <x v="0"/>
    <x v="75"/>
    <x v="0"/>
    <n v="1"/>
  </r>
  <r>
    <n v="10176"/>
    <x v="74"/>
    <x v="17"/>
    <x v="13"/>
    <s v="Domestic"/>
    <n v="4"/>
    <n v="40"/>
    <x v="0"/>
    <x v="0"/>
    <x v="10"/>
    <x v="0"/>
    <x v="0"/>
    <x v="74"/>
    <x v="0"/>
    <n v="1"/>
  </r>
  <r>
    <n v="10176"/>
    <x v="74"/>
    <x v="17"/>
    <x v="13"/>
    <s v="Domestic"/>
    <n v="4"/>
    <n v="40"/>
    <x v="1"/>
    <x v="0"/>
    <x v="0"/>
    <x v="2"/>
    <x v="0"/>
    <x v="75"/>
    <x v="0"/>
    <n v="1"/>
  </r>
  <r>
    <n v="10484"/>
    <x v="75"/>
    <x v="17"/>
    <x v="13"/>
    <s v="Domestic"/>
    <n v="1"/>
    <n v="70"/>
    <x v="0"/>
    <x v="0"/>
    <x v="10"/>
    <x v="0"/>
    <x v="0"/>
    <x v="76"/>
    <x v="0"/>
    <n v="1"/>
  </r>
  <r>
    <s v="1190/1180"/>
    <x v="76"/>
    <x v="17"/>
    <x v="13"/>
    <s v="Domestic"/>
    <n v="24"/>
    <n v="78"/>
    <x v="0"/>
    <x v="1"/>
    <x v="2"/>
    <x v="8"/>
    <x v="0"/>
    <x v="77"/>
    <x v="0"/>
    <n v="1"/>
  </r>
  <r>
    <s v="1190/1180"/>
    <x v="76"/>
    <x v="17"/>
    <x v="13"/>
    <s v="Domestic"/>
    <n v="24"/>
    <n v="78"/>
    <x v="0"/>
    <x v="3"/>
    <x v="6"/>
    <x v="12"/>
    <x v="0"/>
    <x v="78"/>
    <x v="0"/>
    <n v="1"/>
  </r>
  <r>
    <s v="1190/1180"/>
    <x v="76"/>
    <x v="17"/>
    <x v="13"/>
    <s v="Domestic"/>
    <n v="24"/>
    <n v="78"/>
    <x v="1"/>
    <x v="1"/>
    <x v="1"/>
    <x v="15"/>
    <x v="0"/>
    <x v="79"/>
    <x v="0"/>
    <n v="1"/>
  </r>
  <r>
    <s v="1190/1180"/>
    <x v="76"/>
    <x v="17"/>
    <x v="13"/>
    <s v="Domestic"/>
    <n v="24"/>
    <n v="78"/>
    <x v="1"/>
    <x v="0"/>
    <x v="0"/>
    <x v="2"/>
    <x v="0"/>
    <x v="80"/>
    <x v="0"/>
    <n v="1"/>
  </r>
  <r>
    <n v="10513"/>
    <x v="77"/>
    <x v="18"/>
    <x v="14"/>
    <s v="Domestic"/>
    <n v="10"/>
    <n v="1"/>
    <x v="0"/>
    <x v="1"/>
    <x v="1"/>
    <x v="5"/>
    <x v="0"/>
    <x v="0"/>
    <x v="0"/>
    <n v="1"/>
  </r>
  <r>
    <n v="10513"/>
    <x v="77"/>
    <x v="18"/>
    <x v="14"/>
    <s v="Domestic"/>
    <n v="10"/>
    <n v="1"/>
    <x v="0"/>
    <x v="0"/>
    <x v="0"/>
    <x v="2"/>
    <x v="0"/>
    <x v="81"/>
    <x v="0"/>
    <n v="1"/>
  </r>
  <r>
    <n v="10513"/>
    <x v="77"/>
    <x v="18"/>
    <x v="14"/>
    <s v="Domestic"/>
    <n v="10"/>
    <n v="1"/>
    <x v="1"/>
    <x v="0"/>
    <x v="0"/>
    <x v="2"/>
    <x v="0"/>
    <x v="39"/>
    <x v="0"/>
    <n v="1"/>
  </r>
  <r>
    <n v="10588"/>
    <x v="78"/>
    <x v="18"/>
    <x v="14"/>
    <s v="Domestic"/>
    <n v="5"/>
    <n v="30"/>
    <x v="0"/>
    <x v="1"/>
    <x v="2"/>
    <x v="5"/>
    <x v="0"/>
    <x v="82"/>
    <x v="0"/>
    <n v="1"/>
  </r>
  <r>
    <n v="10588"/>
    <x v="78"/>
    <x v="18"/>
    <x v="14"/>
    <s v="Domestic"/>
    <n v="5"/>
    <n v="30"/>
    <x v="0"/>
    <x v="0"/>
    <x v="0"/>
    <x v="2"/>
    <x v="0"/>
    <x v="83"/>
    <x v="0"/>
    <n v="1"/>
  </r>
  <r>
    <n v="10588"/>
    <x v="78"/>
    <x v="18"/>
    <x v="14"/>
    <s v="Domestic"/>
    <n v="5"/>
    <n v="30"/>
    <x v="1"/>
    <x v="0"/>
    <x v="0"/>
    <x v="2"/>
    <x v="0"/>
    <x v="84"/>
    <x v="0"/>
    <n v="1"/>
  </r>
  <r>
    <n v="10589"/>
    <x v="79"/>
    <x v="18"/>
    <x v="14"/>
    <s v="Domestic"/>
    <n v="4"/>
    <n v="1"/>
    <x v="0"/>
    <x v="1"/>
    <x v="2"/>
    <x v="5"/>
    <x v="0"/>
    <x v="85"/>
    <x v="0"/>
    <n v="1"/>
  </r>
  <r>
    <n v="10589"/>
    <x v="79"/>
    <x v="18"/>
    <x v="14"/>
    <s v="Domestic"/>
    <n v="4"/>
    <n v="1"/>
    <x v="0"/>
    <x v="0"/>
    <x v="0"/>
    <x v="2"/>
    <x v="0"/>
    <x v="0"/>
    <x v="0"/>
    <n v="1"/>
  </r>
  <r>
    <n v="10589"/>
    <x v="79"/>
    <x v="18"/>
    <x v="14"/>
    <s v="Domestic"/>
    <n v="4"/>
    <n v="1"/>
    <x v="1"/>
    <x v="0"/>
    <x v="0"/>
    <x v="2"/>
    <x v="0"/>
    <x v="75"/>
    <x v="0"/>
    <n v="1"/>
  </r>
  <r>
    <n v="10602"/>
    <x v="80"/>
    <x v="18"/>
    <x v="14"/>
    <s v="Domestic"/>
    <n v="10"/>
    <n v="1"/>
    <x v="0"/>
    <x v="1"/>
    <x v="1"/>
    <x v="5"/>
    <x v="0"/>
    <x v="0"/>
    <x v="0"/>
    <n v="1"/>
  </r>
  <r>
    <n v="10602"/>
    <x v="80"/>
    <x v="18"/>
    <x v="14"/>
    <s v="Domestic"/>
    <n v="10"/>
    <n v="1"/>
    <x v="0"/>
    <x v="0"/>
    <x v="0"/>
    <x v="2"/>
    <x v="0"/>
    <x v="81"/>
    <x v="0"/>
    <n v="1"/>
  </r>
  <r>
    <n v="10602"/>
    <x v="80"/>
    <x v="18"/>
    <x v="14"/>
    <s v="Domestic"/>
    <n v="10"/>
    <n v="1"/>
    <x v="1"/>
    <x v="0"/>
    <x v="0"/>
    <x v="2"/>
    <x v="0"/>
    <x v="39"/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x v="0"/>
    <m/>
    <m/>
    <m/>
    <m/>
  </r>
  <r>
    <x v="1"/>
    <x v="1"/>
    <x v="1"/>
    <s v="White Hat 8oz compostable white lids (10 x 100's)"/>
    <n v="100"/>
    <n v="10"/>
    <n v="125"/>
  </r>
  <r>
    <x v="1"/>
    <x v="1"/>
    <x v="2"/>
    <s v="White Hat 12/16oz compostable white lids (10 x 100's)"/>
    <n v="100"/>
    <n v="10"/>
    <n v="142"/>
  </r>
  <r>
    <x v="1"/>
    <x v="1"/>
    <x v="3"/>
    <s v="White Hat 7oz white plastic cup (30 x 100's)"/>
    <n v="100"/>
    <n v="30"/>
    <n v="29"/>
  </r>
  <r>
    <x v="1"/>
    <x v="2"/>
    <x v="4"/>
    <s v="White Hat 10.5 x 8&quot; Bagasse Compostable Oval Plate (10x50's)"/>
    <n v="50"/>
    <n v="10"/>
    <n v="2"/>
  </r>
  <r>
    <x v="1"/>
    <x v="2"/>
    <x v="5"/>
    <s v="White Hat 12/16oz CPLA Lid for Soup Container (10X50's)"/>
    <n v="50"/>
    <n v="10"/>
    <n v="1"/>
  </r>
  <r>
    <x v="1"/>
    <x v="1"/>
    <x v="6"/>
    <s v="White Hat flexi half pint glass to rim (25x50's)"/>
    <n v="50"/>
    <n v="25"/>
    <n v="586"/>
  </r>
  <r>
    <x v="1"/>
    <x v="1"/>
    <x v="7"/>
    <s v="White Hat flexi pint glass to rim (16x50's)"/>
    <n v="50"/>
    <n v="16"/>
    <n v="244"/>
  </r>
  <r>
    <x v="1"/>
    <x v="3"/>
    <x v="8"/>
    <s v="White Hat LP blue vinyl glove MED (10x100)"/>
    <n v="100"/>
    <n v="10"/>
    <n v="142"/>
  </r>
  <r>
    <x v="1"/>
    <x v="3"/>
    <x v="9"/>
    <s v="White Hat LP blue vinyl glove LRG (10x100)"/>
    <n v="100"/>
    <n v="10"/>
    <n v="127"/>
  </r>
  <r>
    <x v="1"/>
    <x v="3"/>
    <x v="10"/>
    <s v="White Hat LP blue vinyl glove XL (10x100)"/>
    <n v="100"/>
    <n v="10"/>
    <n v="39"/>
  </r>
  <r>
    <x v="1"/>
    <x v="3"/>
    <x v="11"/>
    <s v="White Hat LP clear vinyl gloves MED (10x100)"/>
    <n v="100"/>
    <n v="10"/>
    <n v="505"/>
  </r>
  <r>
    <x v="1"/>
    <x v="3"/>
    <x v="12"/>
    <s v="White Hat LP clear vinyl gloves LRG (10x100)"/>
    <n v="100"/>
    <n v="10"/>
    <n v="479"/>
  </r>
  <r>
    <x v="1"/>
    <x v="3"/>
    <x v="13"/>
    <s v="White Hat LP clear vinyl gloves XL (10x100)"/>
    <n v="100"/>
    <n v="10"/>
    <n v="157"/>
  </r>
  <r>
    <x v="1"/>
    <x v="3"/>
    <x v="14"/>
    <s v="White Hat PF clear vinyl gloves MED(10x100)"/>
    <n v="100"/>
    <n v="10"/>
    <n v="2687"/>
  </r>
  <r>
    <x v="1"/>
    <x v="3"/>
    <x v="15"/>
    <s v="White Hat PF clear vinyl gloves SML (10x100)"/>
    <n v="100"/>
    <n v="10"/>
    <n v="144"/>
  </r>
  <r>
    <x v="1"/>
    <x v="3"/>
    <x v="16"/>
    <s v="White Hat PF clear vinyl gloves LRG(10x100)"/>
    <n v="100"/>
    <n v="10"/>
    <n v="13442"/>
  </r>
  <r>
    <x v="1"/>
    <x v="3"/>
    <x v="17"/>
    <s v="White Hat PF clear vinyl gloves XL (10x100)"/>
    <n v="100"/>
    <n v="10"/>
    <n v="1191"/>
  </r>
  <r>
    <x v="1"/>
    <x v="4"/>
    <x v="18"/>
    <s v="White Hat Wooden Teaspoon (10x100's)"/>
    <n v="100"/>
    <n v="10"/>
    <n v="5"/>
  </r>
  <r>
    <x v="1"/>
    <x v="4"/>
    <x v="19"/>
    <s v="White Hat Wooden Dessert Spoon (10x100's)"/>
    <n v="100"/>
    <n v="10"/>
    <n v="22"/>
  </r>
  <r>
    <x v="1"/>
    <x v="4"/>
    <x v="20"/>
    <s v="White Hat Wooden Chip Fork (10x1000's)"/>
    <n v="1000"/>
    <n v="10"/>
    <n v="3"/>
  </r>
  <r>
    <x v="1"/>
    <x v="1"/>
    <x v="2"/>
    <s v="90mm White Hot Cup Lids (12/16oz) (10x100)"/>
    <n v="100"/>
    <n v="10"/>
    <n v="2226"/>
  </r>
  <r>
    <x v="1"/>
    <x v="1"/>
    <x v="1"/>
    <s v="80mm White 8oz hot cup lid (10x100`s)"/>
    <n v="100"/>
    <n v="10"/>
    <n v="216"/>
  </r>
  <r>
    <x v="2"/>
    <x v="5"/>
    <x v="21"/>
    <s v="Whitehat LunchNap C&amp;C 2P 4F Burg 200/10"/>
    <n v="200"/>
    <n v="10"/>
    <n v="312"/>
  </r>
  <r>
    <x v="2"/>
    <x v="5"/>
    <x v="22"/>
    <s v="Whitehat LunchNap C&amp;C 2P 4F Champ 200/10"/>
    <n v="200"/>
    <n v="10"/>
    <n v="242"/>
  </r>
  <r>
    <x v="2"/>
    <x v="5"/>
    <x v="23"/>
    <s v="Whitehat LunchNap C&amp;C 2P 4F MBlue 200/10"/>
    <n v="200"/>
    <n v="10"/>
    <n v="103"/>
  </r>
  <r>
    <x v="2"/>
    <x v="5"/>
    <x v="24"/>
    <s v="Whitehat LunchNap C&amp;C 2P4F Green 200/10"/>
    <n v="200"/>
    <n v="10"/>
    <n v="112"/>
  </r>
  <r>
    <x v="2"/>
    <x v="5"/>
    <x v="25"/>
    <s v="Whitehat LunchNap C&amp;C 2P 4F Red 200/10"/>
    <n v="200"/>
    <n v="10"/>
    <n v="79"/>
  </r>
  <r>
    <x v="2"/>
    <x v="5"/>
    <x v="26"/>
    <s v="Whitehat LunchNap C&amp;C 2P 4F White 200/10"/>
    <n v="200"/>
    <n v="10"/>
    <n v="1827"/>
  </r>
  <r>
    <x v="2"/>
    <x v="5"/>
    <x v="27"/>
    <s v="Whitehat DinNap C&amp;C  2P 4F Burg 150/12"/>
    <n v="150"/>
    <n v="12"/>
    <n v="190"/>
  </r>
  <r>
    <x v="2"/>
    <x v="5"/>
    <x v="28"/>
    <s v="Whitehat DinNap C&amp;C 2P 4F Champ 150/12"/>
    <n v="150"/>
    <n v="12"/>
    <n v="107"/>
  </r>
  <r>
    <x v="2"/>
    <x v="5"/>
    <x v="29"/>
    <s v="Whitehat DinNap C&amp;C 2P 4F MBlue 150/12"/>
    <n v="150"/>
    <n v="12"/>
    <n v="123"/>
  </r>
  <r>
    <x v="2"/>
    <x v="5"/>
    <x v="30"/>
    <s v="Whitehat DinNap C&amp;C 2P 4F MPGreen 150/12"/>
    <n v="150"/>
    <n v="12"/>
    <n v="62"/>
  </r>
  <r>
    <x v="2"/>
    <x v="5"/>
    <x v="31"/>
    <s v="Whitehat DinNap C&amp;C 2P 4F White 150/12"/>
    <n v="150"/>
    <n v="12"/>
    <n v="680"/>
  </r>
  <r>
    <x v="2"/>
    <x v="5"/>
    <x v="32"/>
    <s v="Whitehat DinNap C&amp;C 2P 4F Red 150/12"/>
    <n v="150"/>
    <n v="12"/>
    <n v="100"/>
  </r>
  <r>
    <x v="3"/>
    <x v="6"/>
    <x v="33"/>
    <s v="WHITE HAT STRAWBERRY JAM 96X20GM"/>
    <n v="20"/>
    <n v="96"/>
    <n v="7254.96"/>
  </r>
  <r>
    <x v="3"/>
    <x v="6"/>
    <x v="34"/>
    <s v="WHITE HAT MARMALADE 96X20GM"/>
    <n v="20"/>
    <n v="96"/>
    <n v="5917"/>
  </r>
  <r>
    <x v="3"/>
    <x v="7"/>
    <x v="35"/>
    <s v="WHITE HAT TOMATO KETCHUP 2X4.5KG"/>
    <n v="4.5"/>
    <n v="2"/>
    <n v="2123"/>
  </r>
  <r>
    <x v="3"/>
    <x v="8"/>
    <x v="36"/>
    <s v="WHITE HAT PICKLED SLICED BEETROOT 2X2.3KG"/>
    <n v="2.2999999999999998"/>
    <n v="2"/>
    <n v="3095"/>
  </r>
  <r>
    <x v="3"/>
    <x v="6"/>
    <x v="37"/>
    <s v="WHITE HAT ASSORTED JAM 96X20GM"/>
    <n v="20"/>
    <n v="96"/>
    <n v="4019"/>
  </r>
  <r>
    <x v="3"/>
    <x v="6"/>
    <x v="38"/>
    <s v="WHITE HAT RASPBERRY JAM 96X20GM"/>
    <n v="20"/>
    <n v="96"/>
    <n v="3944"/>
  </r>
  <r>
    <x v="3"/>
    <x v="6"/>
    <x v="39"/>
    <s v="WHITE HAT BLACKCURRANT JAM 96X20GM"/>
    <n v="20"/>
    <n v="96"/>
    <n v="1021"/>
  </r>
  <r>
    <x v="4"/>
    <x v="9"/>
    <x v="40"/>
    <s v="White Hat White Sugar Sachets"/>
    <n v="1"/>
    <n v="1000"/>
    <n v="10642"/>
  </r>
  <r>
    <x v="4"/>
    <x v="9"/>
    <x v="41"/>
    <s v="White Hat White Sugar Sticks"/>
    <n v="1"/>
    <n v="1000"/>
    <n v="5408"/>
  </r>
  <r>
    <x v="4"/>
    <x v="9"/>
    <x v="42"/>
    <s v="White Hat Brown Sugar Sachets"/>
    <n v="1"/>
    <n v="1000"/>
    <n v="2666"/>
  </r>
  <r>
    <x v="4"/>
    <x v="9"/>
    <x v="43"/>
    <s v="White Hat Brown Sugar Sticks"/>
    <n v="1"/>
    <n v="1000"/>
    <n v="3722"/>
  </r>
  <r>
    <x v="4"/>
    <x v="9"/>
    <x v="44"/>
    <s v="White Hat White Salt Sachets"/>
    <n v="1"/>
    <n v="1000"/>
    <n v="5209"/>
  </r>
  <r>
    <x v="4"/>
    <x v="9"/>
    <x v="45"/>
    <s v="White Hat White Pepper Sachets"/>
    <n v="1"/>
    <n v="1000"/>
    <n v="1429"/>
  </r>
  <r>
    <x v="5"/>
    <x v="6"/>
    <x v="46"/>
    <s v="White Hat Honey 6 x1kg"/>
    <s v="1kg"/>
    <n v="6"/>
    <n v="20"/>
  </r>
  <r>
    <x v="5"/>
    <x v="6"/>
    <x v="47"/>
    <s v="White Hat Pure Honey Bucket 3.7kg"/>
    <s v="3.7kg"/>
    <n v="1"/>
    <n v="54"/>
  </r>
  <r>
    <x v="6"/>
    <x v="10"/>
    <x v="48"/>
    <s v="White Hat Perfect For Baking 6x2kg"/>
    <s v="2kg"/>
    <n v="6"/>
    <n v="673"/>
  </r>
  <r>
    <x v="7"/>
    <x v="11"/>
    <x v="49"/>
    <s v="White Hat Cooking Oil 20 litre"/>
    <s v="20ltr"/>
    <n v="1"/>
    <n v="2496"/>
  </r>
  <r>
    <x v="8"/>
    <x v="12"/>
    <x v="50"/>
    <s v="WH Small Foil Cont.&amp; Lids 4x5 No.2  25s"/>
    <n v="25"/>
    <n v="40"/>
    <n v="118"/>
  </r>
  <r>
    <x v="8"/>
    <x v="12"/>
    <x v="51"/>
    <s v="WH Foil Cont Lids 4x8 No.6 25s"/>
    <n v="25"/>
    <n v="40"/>
    <n v="74"/>
  </r>
  <r>
    <x v="8"/>
    <x v="12"/>
    <x v="52"/>
    <s v="WH Foil Rec Cont &amp; Lids 9x9x1.5  10s"/>
    <n v="10"/>
    <n v="40"/>
    <n v="135"/>
  </r>
  <r>
    <x v="8"/>
    <x v="2"/>
    <x v="53"/>
    <s v="WH Foil Plate 9   25s"/>
    <n v="25"/>
    <n v="40"/>
    <n v="57"/>
  </r>
  <r>
    <x v="8"/>
    <x v="2"/>
    <x v="54"/>
    <s v="WH 8 Ribbed Deep Flan Dish  25s"/>
    <n v="25"/>
    <n v="10"/>
    <n v="15"/>
  </r>
  <r>
    <x v="8"/>
    <x v="12"/>
    <x v="55"/>
    <s v="WH Half Gastro Foil Containers &amp; Lids - 10's"/>
    <n v="10"/>
    <n v="15"/>
    <n v="90"/>
  </r>
  <r>
    <x v="8"/>
    <x v="12"/>
    <x v="56"/>
    <s v="WH 500ml Clr Microwave Cont &amp; Lids Packed 50s"/>
    <n v="50"/>
    <n v="5"/>
    <n v="2"/>
  </r>
  <r>
    <x v="8"/>
    <x v="3"/>
    <x v="57"/>
    <s v="WH 26x44 Large Refuse Sacks Bor 2x25s"/>
    <s v="2 x 25"/>
    <n v="4"/>
    <n v="215"/>
  </r>
  <r>
    <x v="8"/>
    <x v="3"/>
    <x v="58"/>
    <s v="WH 26x44 Large Refuse Sacks Bor 25s"/>
    <n v="25"/>
    <n v="4"/>
    <n v="1876"/>
  </r>
  <r>
    <x v="8"/>
    <x v="3"/>
    <x v="59"/>
    <s v="WH 26X44 HEAVY DUTY Refuse Sacks BOR 25s"/>
    <n v="25"/>
    <n v="8"/>
    <n v="2368"/>
  </r>
  <r>
    <x v="8"/>
    <x v="3"/>
    <x v="60"/>
    <s v="WH 26X44 HEAVY DUTY  Refuse Sacks BOR 25s"/>
    <n v="25"/>
    <n v="8"/>
    <n v="1880"/>
  </r>
  <r>
    <x v="8"/>
    <x v="3"/>
    <x v="61"/>
    <s v="WH Super Heavy/wt. 29x46 Refuse Sacks L/ft 50"/>
    <n v="50"/>
    <n v="2"/>
    <n v="554"/>
  </r>
  <r>
    <x v="8"/>
    <x v="3"/>
    <x v="62"/>
    <s v="WH 26x44 Clear Recycled Refuse Sacks 25"/>
    <n v="25"/>
    <n v="8"/>
    <n v="1106"/>
  </r>
  <r>
    <x v="9"/>
    <x v="10"/>
    <x v="63"/>
    <s v="WHITE HAT PLAIN FLOUR 25KG"/>
    <s v="25kg"/>
    <n v="1"/>
    <n v="5697"/>
  </r>
  <r>
    <x v="9"/>
    <x v="10"/>
    <x v="64"/>
    <s v="WHITE HAT BAKERS FLOUR 16KG"/>
    <s v="16kg"/>
    <n v="1"/>
    <n v="156"/>
  </r>
  <r>
    <x v="9"/>
    <x v="10"/>
    <x v="65"/>
    <s v="WHITE HAT SR FLOUR 25KG"/>
    <s v="25kg"/>
    <n v="1"/>
    <n v="2756"/>
  </r>
  <r>
    <x v="9"/>
    <x v="8"/>
    <x v="66"/>
    <s v="WHITE HAT CHPD TOMATOES 2.55kg"/>
    <s v="2.55kg"/>
    <n v="1"/>
    <n v="3672"/>
  </r>
  <r>
    <x v="9"/>
    <x v="13"/>
    <x v="67"/>
    <s v="WHITE HAT EASI COOK RICE 5KG"/>
    <s v="5kg"/>
    <n v="1"/>
    <n v="10146"/>
  </r>
  <r>
    <x v="9"/>
    <x v="7"/>
    <x v="68"/>
    <s v="WHITE HAT VINEGAR 4 X 5 LTRS"/>
    <s v="5ltr"/>
    <n v="4"/>
    <n v="10095"/>
  </r>
  <r>
    <x v="9"/>
    <x v="7"/>
    <x v="69"/>
    <s v="WHITE HAT CURRY SAUCE MIX 15L"/>
    <s v="15L"/>
    <n v="1"/>
    <n v="30"/>
  </r>
  <r>
    <x v="9"/>
    <x v="10"/>
    <x v="64"/>
    <s v="Whitehat Plain Flour 16KG"/>
    <s v="16kg"/>
    <n v="1"/>
    <n v="136"/>
  </r>
  <r>
    <x v="10"/>
    <x v="3"/>
    <x v="70"/>
    <s v="WHITE HAT CLING FILM 300MM X 300M "/>
    <n v="1"/>
    <n v="12"/>
    <n v="9732"/>
  </r>
  <r>
    <x v="10"/>
    <x v="3"/>
    <x v="71"/>
    <s v="WHITE HAT COOKING FOIL 440MM X 90M"/>
    <n v="1"/>
    <n v="12"/>
    <n v="19632"/>
  </r>
  <r>
    <x v="10"/>
    <x v="3"/>
    <x v="72"/>
    <s v="WHITE HAT BAKING PARCH 450MM X 50M "/>
    <n v="1"/>
    <n v="12"/>
    <n v="12924"/>
  </r>
  <r>
    <x v="10"/>
    <x v="3"/>
    <x v="73"/>
    <s v="WHITE HAT CLING FILM 450M X 300M "/>
    <n v="1"/>
    <n v="12"/>
    <n v="7692"/>
  </r>
  <r>
    <x v="11"/>
    <x v="1"/>
    <x v="74"/>
    <s v="Traditional Tea Bags 80's  "/>
    <n v="80"/>
    <n v="6"/>
    <n v="2553"/>
  </r>
  <r>
    <x v="12"/>
    <x v="14"/>
    <x v="75"/>
    <s v="LI J26 SLV HOMEST 13 PBL 50 UK"/>
    <n v="1"/>
    <n v="50"/>
    <n v="5257"/>
  </r>
  <r>
    <x v="12"/>
    <x v="14"/>
    <x v="76"/>
    <s v="LI J25 SLV HOMEST 15 PBL 50 UK"/>
    <n v="1"/>
    <n v="50"/>
    <n v="271"/>
  </r>
  <r>
    <x v="12"/>
    <x v="14"/>
    <x v="77"/>
    <s v="LI J38 SLV HOMESTEAD 50 PBL UK"/>
    <n v="1"/>
    <n v="50"/>
    <n v="680"/>
  </r>
  <r>
    <x v="13"/>
    <x v="15"/>
    <x v="78"/>
    <s v="HOM SPNGE GRIP 24x6Pc"/>
    <n v="6"/>
    <n v="24"/>
    <n v="1141"/>
  </r>
  <r>
    <x v="13"/>
    <x v="15"/>
    <x v="79"/>
    <s v="HOM CLOTH ALL/PURPSE 10x10Pc"/>
    <n v="10"/>
    <n v="10"/>
    <n v="1539"/>
  </r>
  <r>
    <x v="13"/>
    <x v="15"/>
    <x v="80"/>
    <s v="HOM CSACKS CMPST140L 20x3Pc"/>
    <n v="3"/>
    <n v="20"/>
    <n v="67"/>
  </r>
  <r>
    <x v="3"/>
    <x v="16"/>
    <x v="81"/>
    <s v="HM111  HOMESTEAD FRUIT COCKTAIL IN LIGHT SYRUP 12X425GM"/>
    <s v="425g"/>
    <n v="12"/>
    <n v="2194"/>
  </r>
  <r>
    <x v="3"/>
    <x v="16"/>
    <x v="82"/>
    <s v="HM112  HOMESTEAD PEACHES IN LIGHT SYRUP 12X410GM"/>
    <s v="410g"/>
    <n v="12"/>
    <n v="1321"/>
  </r>
  <r>
    <x v="3"/>
    <x v="16"/>
    <x v="83"/>
    <s v="HM113A  HOMESTEAD PEAR HALVES IN LIGHT SYRUP 12X425GM"/>
    <s v="425g"/>
    <n v="12"/>
    <n v="766"/>
  </r>
  <r>
    <x v="3"/>
    <x v="17"/>
    <x v="84"/>
    <s v="HM114  HOMESTEAD PEELED TOMATOES IN JUICE 12X400GM"/>
    <s v="400g"/>
    <n v="12"/>
    <n v="124"/>
  </r>
  <r>
    <x v="3"/>
    <x v="17"/>
    <x v="85"/>
    <s v="HM115  HOMESTEAD CHOPPED TOMATOES 12X400GM"/>
    <s v="400g"/>
    <n v="12"/>
    <n v="3149"/>
  </r>
  <r>
    <x v="3"/>
    <x v="17"/>
    <x v="86"/>
    <s v="HM118  HOMESTEAD RED KIDNEY BEANS IN BRINE 12X400GM"/>
    <s v="400g"/>
    <n v="12"/>
    <n v="1938"/>
  </r>
  <r>
    <x v="3"/>
    <x v="16"/>
    <x v="87"/>
    <s v="HM119  HOMESTEAD PINEAPPLE SLICES IN LIGHT SYRUP 12X425GM"/>
    <s v="425g"/>
    <n v="12"/>
    <n v="1782"/>
  </r>
  <r>
    <x v="3"/>
    <x v="17"/>
    <x v="88"/>
    <s v="HM150  HOMESTEAD SLICED CARROTS 12X340GM"/>
    <s v="340g"/>
    <n v="12"/>
    <n v="367"/>
  </r>
  <r>
    <x v="3"/>
    <x v="17"/>
    <x v="89"/>
    <s v="HM151  HOMESTEAD WHOLE BABY CARROTS 12X340GM"/>
    <s v="340g"/>
    <n v="12"/>
    <n v="299"/>
  </r>
  <r>
    <x v="3"/>
    <x v="17"/>
    <x v="90"/>
    <s v="HM152  HOMESTEAD WHOLE BABY CARROTS 12X680GM"/>
    <s v="680g"/>
    <n v="12"/>
    <n v="0"/>
  </r>
  <r>
    <x v="3"/>
    <x v="18"/>
    <x v="91"/>
    <s v="HM161  HOMESTEAD HONEY SQUEEZY 12X340GM"/>
    <s v="340g"/>
    <n v="12"/>
    <n v="561"/>
  </r>
  <r>
    <x v="3"/>
    <x v="17"/>
    <x v="88"/>
    <s v="HM181  HOMESTEAD SLICED BEETROOT 12X340GM"/>
    <s v="340g"/>
    <n v="12"/>
    <n v="392"/>
  </r>
  <r>
    <x v="3"/>
    <x v="17"/>
    <x v="92"/>
    <s v="HM191  HOMESTEAD CHICK PEAS IN BRINE  12X400GRM"/>
    <s v="400g"/>
    <n v="12"/>
    <n v="2030"/>
  </r>
  <r>
    <x v="3"/>
    <x v="17"/>
    <x v="93"/>
    <s v="HM412532  HOMESTEAD SWEETCORN 12X326GM"/>
    <s v="326g"/>
    <n v="12"/>
    <n v="4716"/>
  </r>
  <r>
    <x v="3"/>
    <x v="18"/>
    <x v="94"/>
    <s v="HS5682  HOMESTEAD STRAWBERRY JAM 12X430 GRM"/>
    <s v="430g"/>
    <n v="12"/>
    <n v="2063"/>
  </r>
  <r>
    <x v="3"/>
    <x v="18"/>
    <x v="95"/>
    <s v="HS5683  HOMESTEAD RASPBERRY JAM 12X430 GRM"/>
    <s v="430g"/>
    <n v="12"/>
    <n v="915"/>
  </r>
  <r>
    <x v="3"/>
    <x v="18"/>
    <x v="96"/>
    <s v="HS5684  HOMESTEAD BLACKCURRANT JAM 12X430 GRM"/>
    <s v="430g"/>
    <n v="12"/>
    <n v="519"/>
  </r>
  <r>
    <x v="3"/>
    <x v="18"/>
    <x v="97"/>
    <s v="HS5685  HOMESTEAD FINE CUT MARMALADE 12X430 GRM"/>
    <s v="430g"/>
    <n v="12"/>
    <n v="1923"/>
  </r>
  <r>
    <x v="3"/>
    <x v="19"/>
    <x v="98"/>
    <s v="RU1010  HOMESTEAD TUNA CHUNKS IN BRINE (CARTON) 48X185GM"/>
    <s v="185g"/>
    <n v="48"/>
    <n v="865"/>
  </r>
  <r>
    <x v="14"/>
    <x v="20"/>
    <x v="99"/>
    <s v="Paw Complete Beef &amp; Veg 10kg "/>
    <s v="10kg"/>
    <n v="1"/>
    <n v="3778"/>
  </r>
  <r>
    <x v="14"/>
    <x v="20"/>
    <x v="100"/>
    <s v="Paws Complete Chicken 2.5kg + 60% XF (4kg)"/>
    <s v="2.5kg"/>
    <n v="4"/>
    <n v="1957"/>
  </r>
  <r>
    <x v="14"/>
    <x v="20"/>
    <x v="101"/>
    <s v="Paws Complete Beef 2.5kg + 60% XF (4kg)"/>
    <s v="2.5kg"/>
    <n v="4"/>
    <n v="3002"/>
  </r>
  <r>
    <x v="14"/>
    <x v="20"/>
    <x v="102"/>
    <s v="Paws Premium Dog Beef Wet Food Cans"/>
    <s v="400g"/>
    <n v="24"/>
    <n v="274"/>
  </r>
  <r>
    <x v="14"/>
    <x v="20"/>
    <x v="103"/>
    <s v="Paws Premium Cat Chicken Wt Food Cans "/>
    <s v="400g"/>
    <n v="24"/>
    <n v="104"/>
  </r>
  <r>
    <x v="6"/>
    <x v="10"/>
    <x v="104"/>
    <s v="Homestead Baking 20x250g"/>
    <s v="250g"/>
    <n v="20"/>
    <n v="3444"/>
  </r>
  <r>
    <x v="15"/>
    <x v="21"/>
    <x v="105"/>
    <s v="Homestead Orange 12X1LT Gable Top"/>
    <s v="1Ltr"/>
    <n v="12"/>
    <n v="2440"/>
  </r>
  <r>
    <x v="15"/>
    <x v="21"/>
    <x v="106"/>
    <s v="Homestead Apple 12X1LT Gable Top"/>
    <s v="1Ltr"/>
    <n v="12"/>
    <n v="1567"/>
  </r>
  <r>
    <x v="15"/>
    <x v="21"/>
    <x v="107"/>
    <s v="Homestead Cranberry 12X1LT Gable Top"/>
    <s v="1Ltr"/>
    <n v="12"/>
    <n v="979"/>
  </r>
  <r>
    <x v="8"/>
    <x v="15"/>
    <x v="108"/>
    <s v="28X46X54 Homestead Wheelie B/liners (1285)"/>
    <n v="5"/>
    <n v="20"/>
    <n v="556"/>
  </r>
  <r>
    <x v="8"/>
    <x v="15"/>
    <x v="109"/>
    <s v="Homestead Freezer Bags 12x15&quot;  (1300)"/>
    <n v="12"/>
    <n v="40"/>
    <n v="473"/>
  </r>
  <r>
    <x v="8"/>
    <x v="15"/>
    <x v="110"/>
    <s v="Homestead Kitchen Foil 440mmx10M (1250)"/>
    <n v="1"/>
    <n v="24"/>
    <n v="2125"/>
  </r>
  <r>
    <x v="8"/>
    <x v="15"/>
    <x v="111"/>
    <s v="Homestead 290mmx30M Cling Film (1255)"/>
    <n v="1"/>
    <n v="24"/>
    <n v="659"/>
  </r>
  <r>
    <x v="8"/>
    <x v="15"/>
    <x v="112"/>
    <s v="Homestead Household  Gloves Large (1270)"/>
    <s v="Pair"/>
    <n v="72"/>
    <n v="197"/>
  </r>
  <r>
    <x v="8"/>
    <x v="15"/>
    <x v="113"/>
    <s v="Homestead Household Gloves Medium (1265)"/>
    <s v="Pair"/>
    <n v="72"/>
    <n v="217"/>
  </r>
  <r>
    <x v="8"/>
    <x v="15"/>
    <x v="114"/>
    <s v=" HS 440X460mm Pedal Bin Liners 50's (10481)"/>
    <n v="50"/>
    <n v="40"/>
    <n v="1117"/>
  </r>
  <r>
    <x v="8"/>
    <x v="15"/>
    <x v="115"/>
    <s v="HS 610x865mm Tie Handle Swing Bin Liner 10161"/>
    <n v="25"/>
    <n v="50"/>
    <n v="1159"/>
  </r>
  <r>
    <x v="8"/>
    <x v="15"/>
    <x v="116"/>
    <s v="HS 380mmx10mtr/39gsm Baking Parchment 10482"/>
    <n v="1"/>
    <n v="24"/>
    <n v="678"/>
  </r>
  <r>
    <x v="8"/>
    <x v="15"/>
    <x v="117"/>
    <s v="Homestead Clear Recycled Sacks 90 Ltrs"/>
    <n v="8"/>
    <n v="20"/>
    <n v="420"/>
  </r>
  <r>
    <x v="8"/>
    <x v="15"/>
    <x v="118"/>
    <s v="Homestead 80Ltr Black refuse sacks 20's"/>
    <n v="20"/>
    <n v="40"/>
    <n v="684"/>
  </r>
  <r>
    <x v="8"/>
    <x v="15"/>
    <x v="119"/>
    <s v="HS Jumbo Extra Strong Refuse Sacks 8's (1280)"/>
    <n v="8"/>
    <n v="20"/>
    <n v="7156"/>
  </r>
  <r>
    <x v="16"/>
    <x v="22"/>
    <x v="120"/>
    <s v="Homestead Firelighters 60's - New Codes"/>
    <n v="60"/>
    <n v="12"/>
    <n v="21796"/>
  </r>
  <r>
    <x v="16"/>
    <x v="22"/>
    <x v="121"/>
    <s v="Homestead Firelighters 30's - New Codes"/>
    <n v="30"/>
    <n v="16"/>
    <n v="16651"/>
  </r>
  <r>
    <x v="16"/>
    <x v="22"/>
    <x v="122"/>
    <s v="Homestead Firelogs 700g - New Code"/>
    <s v="700g"/>
    <n v="15"/>
    <n v="22080"/>
  </r>
  <r>
    <x v="17"/>
    <x v="23"/>
    <x v="123"/>
    <s v="HOMESTEAD COMFORT TT 16ROLL X5"/>
    <s v="16 Roll"/>
    <n v="5"/>
    <n v="15372"/>
  </r>
  <r>
    <x v="17"/>
    <x v="23"/>
    <x v="124"/>
    <s v="HOMESTEAD LUXURY SOFT TT 9ROLL X4"/>
    <s v="9 Roll"/>
    <n v="4"/>
    <n v="16672"/>
  </r>
  <r>
    <x v="17"/>
    <x v="23"/>
    <x v="125"/>
    <s v="HOMESTEAD LUXURY SOFT 4R PAPER x10"/>
    <s v="4 Roll"/>
    <n v="10"/>
    <n v="12990"/>
  </r>
  <r>
    <x v="17"/>
    <x v="23"/>
    <x v="126"/>
    <s v="HOMESTEAD ABSORB 2 ROLL PAPER x8"/>
    <s v="2 Roll"/>
    <n v="8"/>
    <n v="11136"/>
  </r>
  <r>
    <x v="17"/>
    <x v="23"/>
    <x v="127"/>
    <s v="Homestead Mansize Tissue 100 X16"/>
    <n v="100"/>
    <n v="16"/>
    <n v="5278"/>
  </r>
  <r>
    <x v="17"/>
    <x v="23"/>
    <x v="125"/>
    <s v="Homestead Comfort 4 Roll X 10"/>
    <s v="4 Roll"/>
    <n v="10"/>
    <n v="8784"/>
  </r>
  <r>
    <x v="18"/>
    <x v="17"/>
    <x v="128"/>
    <s v="HOMESTEAD BEANS 24X420g NON FLASHED"/>
    <s v="420g"/>
    <n v="24"/>
    <n v="4283"/>
  </r>
  <r>
    <x v="18"/>
    <x v="17"/>
    <x v="129"/>
    <s v="HOMESTEAD PEAS 24X420g NON FLASHED"/>
    <s v="420g"/>
    <n v="24"/>
    <n v="2119"/>
  </r>
  <r>
    <x v="18"/>
    <x v="24"/>
    <x v="130"/>
    <s v="Homestead Fusilli 500g"/>
    <s v="500g"/>
    <n v="12"/>
    <n v="1310"/>
  </r>
  <r>
    <x v="18"/>
    <x v="24"/>
    <x v="131"/>
    <s v="Homestead Penne 500g"/>
    <s v="500g"/>
    <n v="12"/>
    <n v="1555"/>
  </r>
  <r>
    <x v="18"/>
    <x v="24"/>
    <x v="132"/>
    <s v="Homestead Spaghetti 500g"/>
    <s v="500g"/>
    <n v="12"/>
    <n v="1666"/>
  </r>
  <r>
    <x v="18"/>
    <x v="11"/>
    <x v="133"/>
    <s v="HS Sunflower Oil 1Ltr"/>
    <s v="1Ltr"/>
    <n v="15"/>
    <n v="1669"/>
  </r>
  <r>
    <x v="18"/>
    <x v="11"/>
    <x v="134"/>
    <s v="HS Rapeseed Oil 1Ltr"/>
    <s v="1Ltr"/>
    <n v="15"/>
    <n v="1070"/>
  </r>
  <r>
    <x v="18"/>
    <x v="25"/>
    <x v="135"/>
    <s v="HS Wholemeal Flr"/>
    <s v="2kg"/>
    <n v="8"/>
    <n v="978"/>
  </r>
  <r>
    <x v="18"/>
    <x v="25"/>
    <x v="136"/>
    <s v="HS Self Raising Flr"/>
    <s v="2kg"/>
    <n v="8"/>
    <n v="3544"/>
  </r>
  <r>
    <x v="18"/>
    <x v="25"/>
    <x v="137"/>
    <s v="HS Plain Flr"/>
    <s v="2kg"/>
    <n v="8"/>
    <n v="3945"/>
  </r>
  <r>
    <x v="0"/>
    <x v="0"/>
    <x v="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m/>
    <m/>
    <x v="0"/>
    <m/>
    <x v="0"/>
  </r>
  <r>
    <x v="1"/>
    <x v="1"/>
    <n v="2015"/>
    <s v="WHITE HAT TOMATO KETCHUP 2X4.5KG"/>
    <x v="1"/>
    <n v="2"/>
    <x v="1"/>
  </r>
  <r>
    <x v="2"/>
    <x v="2"/>
    <n v="2075"/>
    <s v="White Hat PF clear vinyl gloves MED(10x100)"/>
    <x v="2"/>
    <n v="10"/>
    <x v="2"/>
  </r>
  <r>
    <x v="3"/>
    <x v="3"/>
    <n v="2120"/>
    <s v="WH Foil Plate 9   25s"/>
    <x v="3"/>
    <n v="40"/>
    <x v="3"/>
  </r>
  <r>
    <x v="3"/>
    <x v="3"/>
    <n v="2130"/>
    <s v="WH 8 Ribbed Deep Flan Dish  25s"/>
    <x v="3"/>
    <n v="10"/>
    <x v="4"/>
  </r>
  <r>
    <x v="3"/>
    <x v="4"/>
    <n v="2135"/>
    <s v="WH Half Gastro Foil Containers &amp; Lids - 10's"/>
    <x v="4"/>
    <n v="15"/>
    <x v="5"/>
  </r>
  <r>
    <x v="3"/>
    <x v="4"/>
    <n v="2145"/>
    <s v="WH Small Foil Cont.&amp; Lids 4x5 No.2  25s"/>
    <x v="3"/>
    <n v="40"/>
    <x v="6"/>
  </r>
  <r>
    <x v="3"/>
    <x v="4"/>
    <n v="2150"/>
    <s v="WH Foil Cont Lids 4x8 No.6 25s"/>
    <x v="3"/>
    <n v="40"/>
    <x v="7"/>
  </r>
  <r>
    <x v="3"/>
    <x v="4"/>
    <n v="2155"/>
    <s v="WH Foil Rec Cont &amp; Lids 9x9x1.5  10s"/>
    <x v="4"/>
    <n v="40"/>
    <x v="8"/>
  </r>
  <r>
    <x v="3"/>
    <x v="4"/>
    <n v="2170"/>
    <s v="WH 500ml Clr Microwave Cont &amp; Lids Packed 50s"/>
    <x v="5"/>
    <n v="5"/>
    <x v="9"/>
  </r>
  <r>
    <x v="3"/>
    <x v="2"/>
    <n v="2250"/>
    <s v="WH 26x44 Large Refuse Sacks Bor 2x25s"/>
    <x v="6"/>
    <n v="4"/>
    <x v="10"/>
  </r>
  <r>
    <x v="3"/>
    <x v="2"/>
    <n v="2255"/>
    <s v="WH 26X44 HEAVY DUTY Refuse Sacks BOR 25s"/>
    <x v="3"/>
    <n v="8"/>
    <x v="11"/>
  </r>
  <r>
    <x v="2"/>
    <x v="2"/>
    <n v="2260"/>
    <s v="White Hat PF clear vinyl gloves SML (10x100)"/>
    <x v="2"/>
    <n v="10"/>
    <x v="12"/>
  </r>
  <r>
    <x v="2"/>
    <x v="2"/>
    <n v="2305"/>
    <s v="White Hat PF clear vinyl gloves LRG(10x100)"/>
    <x v="2"/>
    <n v="10"/>
    <x v="13"/>
  </r>
  <r>
    <x v="2"/>
    <x v="2"/>
    <n v="2310"/>
    <s v="White Hat PF clear vinyl gloves XL (10x100)"/>
    <x v="2"/>
    <n v="10"/>
    <x v="14"/>
  </r>
  <r>
    <x v="4"/>
    <x v="5"/>
    <n v="2335"/>
    <s v="Whitehat LunchNap C&amp;C 2P 4F White 200/10"/>
    <x v="7"/>
    <n v="10"/>
    <x v="15"/>
  </r>
  <r>
    <x v="4"/>
    <x v="5"/>
    <n v="2340"/>
    <s v="Whitehat LunchNap C&amp;C 2P 4F Burg 200/10"/>
    <x v="7"/>
    <n v="10"/>
    <x v="16"/>
  </r>
  <r>
    <x v="4"/>
    <x v="5"/>
    <n v="2350"/>
    <s v="Whitehat LunchNap C&amp;C 2P 4F MBlue 200/10"/>
    <x v="7"/>
    <n v="10"/>
    <x v="17"/>
  </r>
  <r>
    <x v="4"/>
    <x v="5"/>
    <n v="2355"/>
    <s v="Whitehat LunchNap C&amp;C 2P 4F Champ 200/10"/>
    <x v="7"/>
    <n v="10"/>
    <x v="18"/>
  </r>
  <r>
    <x v="4"/>
    <x v="5"/>
    <n v="2360"/>
    <s v="Whitehat LunchNap C&amp;C 2P4F Green 200/10"/>
    <x v="7"/>
    <n v="10"/>
    <x v="19"/>
  </r>
  <r>
    <x v="4"/>
    <x v="5"/>
    <n v="2370"/>
    <s v="Whitehat LunchNap C&amp;C 2P 4F Red 200/10"/>
    <x v="7"/>
    <n v="10"/>
    <x v="20"/>
  </r>
  <r>
    <x v="2"/>
    <x v="2"/>
    <n v="2385"/>
    <s v="White Hat LP clear vinyl gloves MED (10x100)"/>
    <x v="2"/>
    <n v="10"/>
    <x v="21"/>
  </r>
  <r>
    <x v="2"/>
    <x v="2"/>
    <n v="2395"/>
    <s v="White Hat LP clear vinyl gloves LRG (10x100)"/>
    <x v="2"/>
    <n v="10"/>
    <x v="22"/>
  </r>
  <r>
    <x v="2"/>
    <x v="2"/>
    <n v="2400"/>
    <s v="White Hat LP clear vinyl gloves XL (10x100)"/>
    <x v="2"/>
    <n v="10"/>
    <x v="23"/>
  </r>
  <r>
    <x v="2"/>
    <x v="2"/>
    <n v="2410"/>
    <s v="White Hat LP blue vinyl glove MED (10x100)"/>
    <x v="2"/>
    <n v="10"/>
    <x v="24"/>
  </r>
  <r>
    <x v="2"/>
    <x v="2"/>
    <n v="2415"/>
    <s v="White Hat LP blue vinyl glove LRG (10x100)"/>
    <x v="2"/>
    <n v="10"/>
    <x v="25"/>
  </r>
  <r>
    <x v="2"/>
    <x v="2"/>
    <n v="2420"/>
    <s v="White Hat LP blue vinyl glove XL (10x100)"/>
    <x v="2"/>
    <n v="10"/>
    <x v="26"/>
  </r>
  <r>
    <x v="5"/>
    <x v="6"/>
    <n v="2460"/>
    <s v="White Hat White Sugar Sachets"/>
    <x v="8"/>
    <n v="1000"/>
    <x v="27"/>
  </r>
  <r>
    <x v="5"/>
    <x v="6"/>
    <n v="2465"/>
    <s v="White Hat Brown Sugar Sachets"/>
    <x v="8"/>
    <n v="1000"/>
    <x v="28"/>
  </r>
  <r>
    <x v="5"/>
    <x v="6"/>
    <n v="2470"/>
    <s v="White Hat White Sugar Sticks"/>
    <x v="8"/>
    <n v="1000"/>
    <x v="29"/>
  </r>
  <r>
    <x v="5"/>
    <x v="6"/>
    <n v="2475"/>
    <s v="White Hat Brown Sugar Sticks"/>
    <x v="8"/>
    <n v="1000"/>
    <x v="30"/>
  </r>
  <r>
    <x v="5"/>
    <x v="6"/>
    <n v="2480"/>
    <s v="White Hat White Salt Sachets"/>
    <x v="8"/>
    <n v="1000"/>
    <x v="31"/>
  </r>
  <r>
    <x v="5"/>
    <x v="6"/>
    <n v="2485"/>
    <s v="White Hat White Pepper Sachets"/>
    <x v="8"/>
    <n v="1000"/>
    <x v="32"/>
  </r>
  <r>
    <x v="6"/>
    <x v="7"/>
    <n v="2515"/>
    <s v="WHITE HAT EASI COOK RICE 5KG"/>
    <x v="9"/>
    <n v="1"/>
    <x v="33"/>
  </r>
  <r>
    <x v="6"/>
    <x v="8"/>
    <n v="2525"/>
    <s v="WHITE HAT PLAIN FLOUR 25KG"/>
    <x v="10"/>
    <n v="1"/>
    <x v="34"/>
  </r>
  <r>
    <x v="6"/>
    <x v="8"/>
    <n v="2530"/>
    <s v="WHITE HAT BAKERS FLOUR 16KG"/>
    <x v="11"/>
    <n v="1"/>
    <x v="35"/>
  </r>
  <r>
    <x v="6"/>
    <x v="8"/>
    <n v="2530"/>
    <s v="Whitehat Plain Flour 16KG"/>
    <x v="11"/>
    <n v="1"/>
    <x v="36"/>
  </r>
  <r>
    <x v="6"/>
    <x v="8"/>
    <n v="2535"/>
    <s v="WHITE HAT SR FLOUR 25KG"/>
    <x v="10"/>
    <n v="1"/>
    <x v="37"/>
  </r>
  <r>
    <x v="7"/>
    <x v="2"/>
    <n v="5930"/>
    <s v="WHITE HAT COOKING FOIL 440MM X 90M"/>
    <x v="8"/>
    <n v="12"/>
    <x v="38"/>
  </r>
  <r>
    <x v="6"/>
    <x v="1"/>
    <n v="5955"/>
    <s v="WHITE HAT VINEGAR 4 X 5 LTRS"/>
    <x v="12"/>
    <n v="4"/>
    <x v="39"/>
  </r>
  <r>
    <x v="1"/>
    <x v="9"/>
    <n v="10043"/>
    <s v="WHITE HAT PICKLED SLICED BEETROOT 2X2.3KG"/>
    <x v="13"/>
    <n v="2"/>
    <x v="40"/>
  </r>
  <r>
    <x v="4"/>
    <x v="5"/>
    <n v="10058"/>
    <s v="Whitehat DinNap C&amp;C 2P 4F Red 150/12"/>
    <x v="14"/>
    <n v="12"/>
    <x v="41"/>
  </r>
  <r>
    <x v="4"/>
    <x v="5"/>
    <n v="10059"/>
    <s v="Whitehat DinNap C&amp;C  2P 4F Burg 150/12"/>
    <x v="14"/>
    <n v="12"/>
    <x v="42"/>
  </r>
  <r>
    <x v="4"/>
    <x v="5"/>
    <n v="10060"/>
    <s v="Whitehat DinNap C&amp;C 2P 4F Champ 150/12"/>
    <x v="14"/>
    <n v="12"/>
    <x v="43"/>
  </r>
  <r>
    <x v="4"/>
    <x v="5"/>
    <n v="10061"/>
    <s v="Whitehat DinNap C&amp;C 2P 4F MBlue 150/12"/>
    <x v="14"/>
    <n v="12"/>
    <x v="44"/>
  </r>
  <r>
    <x v="4"/>
    <x v="5"/>
    <n v="10062"/>
    <s v="Whitehat DinNap C&amp;C 2P 4F MPGreen 150/12"/>
    <x v="14"/>
    <n v="12"/>
    <x v="45"/>
  </r>
  <r>
    <x v="4"/>
    <x v="5"/>
    <n v="10066"/>
    <s v="Whitehat DinNap C&amp;C 2P 4F White 150/12"/>
    <x v="14"/>
    <n v="12"/>
    <x v="46"/>
  </r>
  <r>
    <x v="8"/>
    <x v="10"/>
    <n v="10105"/>
    <s v="White Hat Cooking Oil 20 litre"/>
    <x v="15"/>
    <n v="1"/>
    <x v="47"/>
  </r>
  <r>
    <x v="7"/>
    <x v="2"/>
    <n v="10118"/>
    <s v="WHITE HAT BAKING PARCH 450MM X 50M "/>
    <x v="8"/>
    <n v="12"/>
    <x v="48"/>
  </r>
  <r>
    <x v="6"/>
    <x v="9"/>
    <n v="10148"/>
    <s v="WHITE HAT CHPD TOMATOES 2.55kg"/>
    <x v="16"/>
    <n v="1"/>
    <x v="49"/>
  </r>
  <r>
    <x v="3"/>
    <x v="2"/>
    <n v="10177"/>
    <s v="WH 26x44 Large Refuse Sacks Bor 25s"/>
    <x v="3"/>
    <n v="4"/>
    <x v="50"/>
  </r>
  <r>
    <x v="3"/>
    <x v="2"/>
    <n v="10178"/>
    <s v="WH 26X44 HEAVY DUTY  Refuse Sacks BOR 25s"/>
    <x v="3"/>
    <n v="8"/>
    <x v="51"/>
  </r>
  <r>
    <x v="3"/>
    <x v="2"/>
    <n v="10180"/>
    <s v="WH 26x44 Clear Recycled Refuse Sacks 25"/>
    <x v="3"/>
    <n v="8"/>
    <x v="52"/>
  </r>
  <r>
    <x v="2"/>
    <x v="11"/>
    <n v="10205"/>
    <s v="White Hat Wooden Teaspoon (10x100's)"/>
    <x v="2"/>
    <n v="10"/>
    <x v="53"/>
  </r>
  <r>
    <x v="3"/>
    <x v="2"/>
    <n v="10318"/>
    <s v="WH Super Heavy/wt. 29x46 Refuse Sacks L/ft 50"/>
    <x v="5"/>
    <n v="2"/>
    <x v="54"/>
  </r>
  <r>
    <x v="1"/>
    <x v="12"/>
    <n v="10376"/>
    <s v="WHITE HAT STRAWBERRY JAM 96X20GM"/>
    <x v="17"/>
    <n v="96"/>
    <x v="55"/>
  </r>
  <r>
    <x v="1"/>
    <x v="12"/>
    <n v="10377"/>
    <s v="WHITE HAT RASPBERRY JAM 96X20GM"/>
    <x v="17"/>
    <n v="96"/>
    <x v="56"/>
  </r>
  <r>
    <x v="1"/>
    <x v="12"/>
    <n v="10378"/>
    <s v="WHITE HAT BLACKCURRANT JAM 96X20GM"/>
    <x v="17"/>
    <n v="96"/>
    <x v="57"/>
  </r>
  <r>
    <x v="1"/>
    <x v="12"/>
    <n v="10379"/>
    <s v="WHITE HAT MARMALADE 96X20GM"/>
    <x v="17"/>
    <n v="96"/>
    <x v="58"/>
  </r>
  <r>
    <x v="1"/>
    <x v="12"/>
    <n v="10385"/>
    <s v="WHITE HAT ASSORTED JAM 96X20GM"/>
    <x v="17"/>
    <n v="96"/>
    <x v="59"/>
  </r>
  <r>
    <x v="2"/>
    <x v="3"/>
    <n v="10428"/>
    <s v="White Hat 12/16oz CPLA Lid for Soup Container (10X50's)"/>
    <x v="5"/>
    <n v="10"/>
    <x v="60"/>
  </r>
  <r>
    <x v="2"/>
    <x v="13"/>
    <n v="10487"/>
    <s v="White Hat flexi pint glass to rim (16x50's)"/>
    <x v="5"/>
    <n v="16"/>
    <x v="61"/>
  </r>
  <r>
    <x v="2"/>
    <x v="13"/>
    <n v="10488"/>
    <s v="White Hat flexi half pint glass to rim (25x50's)"/>
    <x v="5"/>
    <n v="25"/>
    <x v="62"/>
  </r>
  <r>
    <x v="2"/>
    <x v="13"/>
    <n v="10489"/>
    <s v="White Hat 7oz white plastic cup (30 x 100's)"/>
    <x v="2"/>
    <n v="30"/>
    <x v="63"/>
  </r>
  <r>
    <x v="2"/>
    <x v="13"/>
    <n v="10519"/>
    <s v="White Hat 8oz compostable white lids (10 x 100's)"/>
    <x v="2"/>
    <n v="10"/>
    <x v="64"/>
  </r>
  <r>
    <x v="2"/>
    <x v="13"/>
    <n v="10519"/>
    <s v="80mm White 8oz hot cup lid (10x100`s)"/>
    <x v="2"/>
    <n v="10"/>
    <x v="65"/>
  </r>
  <r>
    <x v="2"/>
    <x v="13"/>
    <n v="10520"/>
    <s v="White Hat 12/16oz compostable white lids (10 x 100's)"/>
    <x v="2"/>
    <n v="10"/>
    <x v="24"/>
  </r>
  <r>
    <x v="2"/>
    <x v="13"/>
    <n v="10520"/>
    <s v="90mm White Hot Cup Lids (12/16oz) (10x100)"/>
    <x v="2"/>
    <n v="10"/>
    <x v="66"/>
  </r>
  <r>
    <x v="2"/>
    <x v="11"/>
    <n v="10531"/>
    <s v="White Hat Wooden Dessert Spoon (10x100's)"/>
    <x v="2"/>
    <n v="10"/>
    <x v="67"/>
  </r>
  <r>
    <x v="2"/>
    <x v="11"/>
    <n v="10532"/>
    <s v="White Hat Wooden Chip Fork (10x1000's)"/>
    <x v="18"/>
    <n v="10"/>
    <x v="68"/>
  </r>
  <r>
    <x v="2"/>
    <x v="3"/>
    <n v="10548"/>
    <s v="White Hat 10.5 x 8&quot; Bagasse Compostable Oval Plate (10x50's)"/>
    <x v="5"/>
    <n v="10"/>
    <x v="9"/>
  </r>
  <r>
    <x v="6"/>
    <x v="1"/>
    <n v="10555"/>
    <s v="WHITE HAT CURRY SAUCE MIX 15L"/>
    <x v="19"/>
    <n v="1"/>
    <x v="69"/>
  </r>
  <r>
    <x v="9"/>
    <x v="12"/>
    <n v="10560"/>
    <s v="White Hat Pure Honey Bucket 3.7kg"/>
    <x v="20"/>
    <n v="1"/>
    <x v="70"/>
  </r>
  <r>
    <x v="9"/>
    <x v="12"/>
    <n v="10561"/>
    <s v="White Hat Honey 6 x1kg"/>
    <x v="21"/>
    <n v="6"/>
    <x v="71"/>
  </r>
  <r>
    <x v="10"/>
    <x v="8"/>
    <n v="10562"/>
    <s v="White Hat Perfect For Baking 6x2kg"/>
    <x v="22"/>
    <n v="6"/>
    <x v="72"/>
  </r>
  <r>
    <x v="7"/>
    <x v="2"/>
    <n v="50212"/>
    <s v="WHITE HAT CLING FILM 300MM X 300M "/>
    <x v="8"/>
    <n v="12"/>
    <x v="73"/>
  </r>
  <r>
    <x v="7"/>
    <x v="2"/>
    <n v="50213"/>
    <s v="WHITE HAT CLING FILM 450M X 300M "/>
    <x v="8"/>
    <n v="12"/>
    <x v="74"/>
  </r>
  <r>
    <x v="11"/>
    <x v="13"/>
    <n v="1010"/>
    <s v="Traditional Tea Bags 80's  "/>
    <x v="23"/>
    <n v="6"/>
    <x v="75"/>
  </r>
  <r>
    <x v="1"/>
    <x v="14"/>
    <n v="1055"/>
    <s v="HM119  HOMESTEAD PINEAPPLE SLICES IN LIGHT SYRUP 12X425GM"/>
    <x v="24"/>
    <n v="12"/>
    <x v="76"/>
  </r>
  <r>
    <x v="1"/>
    <x v="15"/>
    <n v="1090"/>
    <s v="HM412532  HOMESTEAD SWEETCORN 12X326GM"/>
    <x v="25"/>
    <n v="12"/>
    <x v="77"/>
  </r>
  <r>
    <x v="1"/>
    <x v="14"/>
    <n v="1140"/>
    <s v="HM111  HOMESTEAD FRUIT COCKTAIL IN LIGHT SYRUP 12X425GM"/>
    <x v="24"/>
    <n v="12"/>
    <x v="78"/>
  </r>
  <r>
    <x v="1"/>
    <x v="14"/>
    <n v="1145"/>
    <s v="HM112  HOMESTEAD PEACHES IN LIGHT SYRUP 12X410GM"/>
    <x v="26"/>
    <n v="12"/>
    <x v="79"/>
  </r>
  <r>
    <x v="1"/>
    <x v="14"/>
    <n v="1150"/>
    <s v="HM113A  HOMESTEAD PEAR HALVES IN LIGHT SYRUP 12X425GM"/>
    <x v="24"/>
    <n v="12"/>
    <x v="80"/>
  </r>
  <r>
    <x v="1"/>
    <x v="15"/>
    <n v="1155"/>
    <s v="HM115  HOMESTEAD CHOPPED TOMATOES 12X400GM"/>
    <x v="27"/>
    <n v="12"/>
    <x v="81"/>
  </r>
  <r>
    <x v="1"/>
    <x v="15"/>
    <n v="1160"/>
    <s v="HM114  HOMESTEAD PEELED TOMATOES IN JUICE 12X400GM"/>
    <x v="27"/>
    <n v="12"/>
    <x v="82"/>
  </r>
  <r>
    <x v="1"/>
    <x v="15"/>
    <n v="1165"/>
    <s v="HM118  HOMESTEAD RED KIDNEY BEANS IN BRINE 12X400GM"/>
    <x v="27"/>
    <n v="12"/>
    <x v="83"/>
  </r>
  <r>
    <x v="12"/>
    <x v="16"/>
    <n v="1180"/>
    <s v="Paws Premium Cat Chicken Wt Food Cans "/>
    <x v="27"/>
    <n v="24"/>
    <x v="84"/>
  </r>
  <r>
    <x v="12"/>
    <x v="16"/>
    <n v="1190"/>
    <s v="Paws Premium Dog Beef Wet Food Cans"/>
    <x v="27"/>
    <n v="24"/>
    <x v="85"/>
  </r>
  <r>
    <x v="3"/>
    <x v="17"/>
    <n v="1250"/>
    <s v="Homestead Kitchen Foil 440mmx10M (1250)"/>
    <x v="8"/>
    <n v="24"/>
    <x v="86"/>
  </r>
  <r>
    <x v="3"/>
    <x v="17"/>
    <n v="1255"/>
    <s v="Homestead 290mmx30M Cling Film (1255)"/>
    <x v="8"/>
    <n v="24"/>
    <x v="87"/>
  </r>
  <r>
    <x v="3"/>
    <x v="17"/>
    <n v="1265"/>
    <s v="Homestead Household Gloves Medium (1265)"/>
    <x v="28"/>
    <n v="72"/>
    <x v="88"/>
  </r>
  <r>
    <x v="3"/>
    <x v="17"/>
    <n v="1270"/>
    <s v="Homestead Household  Gloves Large (1270)"/>
    <x v="28"/>
    <n v="72"/>
    <x v="89"/>
  </r>
  <r>
    <x v="3"/>
    <x v="17"/>
    <n v="1285"/>
    <s v="28X46X54 Homestead Wheelie B/liners (1285)"/>
    <x v="29"/>
    <n v="20"/>
    <x v="90"/>
  </r>
  <r>
    <x v="3"/>
    <x v="17"/>
    <n v="1300"/>
    <s v="Homestead Freezer Bags 12x15&quot;  (1300)"/>
    <x v="30"/>
    <n v="40"/>
    <x v="91"/>
  </r>
  <r>
    <x v="1"/>
    <x v="18"/>
    <n v="5535"/>
    <s v="RU1010  HOMESTEAD TUNA CHUNKS IN BRINE (CARTON) 48X185GM"/>
    <x v="31"/>
    <n v="48"/>
    <x v="92"/>
  </r>
  <r>
    <x v="1"/>
    <x v="19"/>
    <n v="10010"/>
    <s v="HS5682  HOMESTEAD STRAWBERRY JAM 12X430 GRM"/>
    <x v="32"/>
    <n v="12"/>
    <x v="93"/>
  </r>
  <r>
    <x v="1"/>
    <x v="19"/>
    <n v="10011"/>
    <s v="HS5683  HOMESTEAD RASPBERRY JAM 12X430 GRM"/>
    <x v="32"/>
    <n v="12"/>
    <x v="94"/>
  </r>
  <r>
    <x v="1"/>
    <x v="19"/>
    <n v="10012"/>
    <s v="HS5684  HOMESTEAD BLACKCURRANT JAM 12X430 GRM"/>
    <x v="32"/>
    <n v="12"/>
    <x v="95"/>
  </r>
  <r>
    <x v="1"/>
    <x v="19"/>
    <n v="10014"/>
    <s v="HS5685  HOMESTEAD FINE CUT MARMALADE 12X430 GRM"/>
    <x v="32"/>
    <n v="12"/>
    <x v="96"/>
  </r>
  <r>
    <x v="13"/>
    <x v="20"/>
    <n v="10026"/>
    <s v="Homestead Spaghetti 500g"/>
    <x v="33"/>
    <n v="12"/>
    <x v="97"/>
  </r>
  <r>
    <x v="13"/>
    <x v="20"/>
    <n v="10027"/>
    <s v="Homestead Penne 500g"/>
    <x v="33"/>
    <n v="12"/>
    <x v="98"/>
  </r>
  <r>
    <x v="13"/>
    <x v="20"/>
    <n v="10028"/>
    <s v="Homestead Fusilli 500g"/>
    <x v="33"/>
    <n v="12"/>
    <x v="99"/>
  </r>
  <r>
    <x v="13"/>
    <x v="21"/>
    <n v="10037"/>
    <s v="HS Plain Flr"/>
    <x v="22"/>
    <n v="8"/>
    <x v="100"/>
  </r>
  <r>
    <x v="13"/>
    <x v="21"/>
    <n v="10038"/>
    <s v="HS Self Raising Flr"/>
    <x v="22"/>
    <n v="8"/>
    <x v="101"/>
  </r>
  <r>
    <x v="13"/>
    <x v="21"/>
    <n v="10039"/>
    <s v="HS Wholemeal Flr"/>
    <x v="22"/>
    <n v="8"/>
    <x v="102"/>
  </r>
  <r>
    <x v="14"/>
    <x v="22"/>
    <n v="10050"/>
    <s v="Homestead Orange 12X1LT Gable Top"/>
    <x v="34"/>
    <n v="12"/>
    <x v="103"/>
  </r>
  <r>
    <x v="14"/>
    <x v="22"/>
    <n v="10051"/>
    <s v="Homestead Apple 12X1LT Gable Top"/>
    <x v="34"/>
    <n v="12"/>
    <x v="104"/>
  </r>
  <r>
    <x v="14"/>
    <x v="22"/>
    <n v="10052"/>
    <s v="Homestead Cranberry 12X1LT Gable Top"/>
    <x v="34"/>
    <n v="12"/>
    <x v="105"/>
  </r>
  <r>
    <x v="15"/>
    <x v="23"/>
    <n v="10149"/>
    <s v="LI J26 SLV HOMEST 13 PBL 50 UK"/>
    <x v="8"/>
    <n v="50"/>
    <x v="106"/>
  </r>
  <r>
    <x v="15"/>
    <x v="23"/>
    <n v="10150"/>
    <s v="LI J25 SLV HOMEST 15 PBL 50 UK"/>
    <x v="8"/>
    <n v="50"/>
    <x v="107"/>
  </r>
  <r>
    <x v="15"/>
    <x v="23"/>
    <n v="10151"/>
    <s v="LI J38 SLV HOMESTEAD 50 PBL UK"/>
    <x v="8"/>
    <n v="50"/>
    <x v="46"/>
  </r>
  <r>
    <x v="3"/>
    <x v="17"/>
    <n v="10161"/>
    <s v="HS 610x865mm Tie Handle Swing Bin Liner 10161"/>
    <x v="3"/>
    <n v="50"/>
    <x v="108"/>
  </r>
  <r>
    <x v="3"/>
    <x v="17"/>
    <n v="10162"/>
    <s v="Homestead 80Ltr Black refuse sacks 20's"/>
    <x v="17"/>
    <n v="40"/>
    <x v="109"/>
  </r>
  <r>
    <x v="16"/>
    <x v="17"/>
    <n v="10164"/>
    <s v="HOM SPNGE GRIP 24x6Pc"/>
    <x v="35"/>
    <n v="24"/>
    <x v="110"/>
  </r>
  <r>
    <x v="16"/>
    <x v="17"/>
    <n v="10165"/>
    <s v="HOM CLOTH ALL/PURPSE 10x10Pc"/>
    <x v="4"/>
    <n v="10"/>
    <x v="111"/>
  </r>
  <r>
    <x v="12"/>
    <x v="16"/>
    <n v="10175"/>
    <s v="Paws Complete Beef 2.5kg + 60% XF (4kg)"/>
    <x v="36"/>
    <n v="4"/>
    <x v="112"/>
  </r>
  <r>
    <x v="12"/>
    <x v="16"/>
    <n v="10176"/>
    <s v="Paws Complete Chicken 2.5kg + 60% XF (4kg)"/>
    <x v="36"/>
    <n v="4"/>
    <x v="113"/>
  </r>
  <r>
    <x v="1"/>
    <x v="15"/>
    <n v="10190"/>
    <s v="HM151  HOMESTEAD WHOLE BABY CARROTS 12X340GM"/>
    <x v="37"/>
    <n v="12"/>
    <x v="114"/>
  </r>
  <r>
    <x v="1"/>
    <x v="15"/>
    <n v="10191"/>
    <s v="HM152  HOMESTEAD WHOLE BABY CARROTS 12X680GM"/>
    <x v="38"/>
    <n v="12"/>
    <x v="115"/>
  </r>
  <r>
    <x v="13"/>
    <x v="15"/>
    <n v="10231"/>
    <s v="HOMESTEAD BEANS 24X420g NON FLASHED"/>
    <x v="39"/>
    <n v="24"/>
    <x v="116"/>
  </r>
  <r>
    <x v="13"/>
    <x v="15"/>
    <n v="10232"/>
    <s v="HOMESTEAD PEAS 24X420g NON FLASHED"/>
    <x v="39"/>
    <n v="24"/>
    <x v="117"/>
  </r>
  <r>
    <x v="1"/>
    <x v="19"/>
    <n v="10274"/>
    <s v="HM161  HOMESTEAD HONEY SQUEEZY 12X340GM"/>
    <x v="37"/>
    <n v="12"/>
    <x v="118"/>
  </r>
  <r>
    <x v="1"/>
    <x v="15"/>
    <n v="10404"/>
    <s v="HM150  HOMESTEAD SLICED CARROTS 12X340GM"/>
    <x v="37"/>
    <n v="12"/>
    <x v="119"/>
  </r>
  <r>
    <x v="1"/>
    <x v="15"/>
    <n v="10404"/>
    <s v="HM181  HOMESTEAD SLICED BEETROOT 12X340GM"/>
    <x v="37"/>
    <n v="12"/>
    <x v="120"/>
  </r>
  <r>
    <x v="3"/>
    <x v="17"/>
    <n v="10481"/>
    <s v=" HS 440X460mm Pedal Bin Liners 50's (10481)"/>
    <x v="5"/>
    <n v="40"/>
    <x v="121"/>
  </r>
  <r>
    <x v="3"/>
    <x v="17"/>
    <n v="10482"/>
    <s v="HS 380mmx10mtr/39gsm Baking Parchment 10482"/>
    <x v="8"/>
    <n v="24"/>
    <x v="122"/>
  </r>
  <r>
    <x v="12"/>
    <x v="16"/>
    <n v="10484"/>
    <s v="Paw Complete Beef &amp; Veg 10kg "/>
    <x v="40"/>
    <n v="1"/>
    <x v="123"/>
  </r>
  <r>
    <x v="17"/>
    <x v="24"/>
    <n v="10513"/>
    <s v="HOMESTEAD LUXURY SOFT 4R PAPER x10"/>
    <x v="41"/>
    <n v="10"/>
    <x v="124"/>
  </r>
  <r>
    <x v="17"/>
    <x v="24"/>
    <n v="10513"/>
    <s v="Homestead Comfort 4 Roll X 10"/>
    <x v="41"/>
    <n v="10"/>
    <x v="125"/>
  </r>
  <r>
    <x v="16"/>
    <x v="17"/>
    <n v="10515"/>
    <s v="HOM CSACKS CMPST140L 20x3Pc"/>
    <x v="42"/>
    <n v="20"/>
    <x v="126"/>
  </r>
  <r>
    <x v="1"/>
    <x v="15"/>
    <n v="10524"/>
    <s v="HM191  HOMESTEAD CHICK PEAS IN BRINE  12X400GRM"/>
    <x v="27"/>
    <n v="12"/>
    <x v="127"/>
  </r>
  <r>
    <x v="17"/>
    <x v="24"/>
    <n v="10587"/>
    <s v="Homestead Mansize Tissue 100 X16"/>
    <x v="2"/>
    <n v="16"/>
    <x v="128"/>
  </r>
  <r>
    <x v="17"/>
    <x v="24"/>
    <n v="10588"/>
    <s v="HOMESTEAD COMFORT TT 16ROLL X5"/>
    <x v="43"/>
    <n v="5"/>
    <x v="129"/>
  </r>
  <r>
    <x v="17"/>
    <x v="24"/>
    <n v="10589"/>
    <s v="HOMESTEAD LUXURY SOFT TT 9ROLL X4"/>
    <x v="44"/>
    <n v="4"/>
    <x v="130"/>
  </r>
  <r>
    <x v="3"/>
    <x v="17"/>
    <n v="10591"/>
    <s v="Homestead Clear Recycled Sacks 90 Ltrs"/>
    <x v="45"/>
    <n v="20"/>
    <x v="131"/>
  </r>
  <r>
    <x v="3"/>
    <x v="17"/>
    <n v="10592"/>
    <s v="HS Jumbo Extra Strong Refuse Sacks 8's (1280)"/>
    <x v="45"/>
    <n v="20"/>
    <x v="132"/>
  </r>
  <r>
    <x v="10"/>
    <x v="8"/>
    <n v="10593"/>
    <s v="Homestead Baking 20x250g"/>
    <x v="46"/>
    <n v="20"/>
    <x v="133"/>
  </r>
  <r>
    <x v="13"/>
    <x v="10"/>
    <n v="10594"/>
    <s v="HS Sunflower Oil 1Ltr"/>
    <x v="34"/>
    <n v="15"/>
    <x v="134"/>
  </r>
  <r>
    <x v="13"/>
    <x v="10"/>
    <n v="10595"/>
    <s v="HS Rapeseed Oil 1Ltr"/>
    <x v="34"/>
    <n v="15"/>
    <x v="135"/>
  </r>
  <r>
    <x v="18"/>
    <x v="25"/>
    <n v="10599"/>
    <s v="Homestead Firelogs 700g - New Code"/>
    <x v="47"/>
    <n v="15"/>
    <x v="136"/>
  </r>
  <r>
    <x v="17"/>
    <x v="24"/>
    <n v="10600"/>
    <s v="HOMESTEAD ABSORB 2 ROLL PAPER x8"/>
    <x v="48"/>
    <n v="8"/>
    <x v="137"/>
  </r>
  <r>
    <x v="18"/>
    <x v="25"/>
    <n v="10604"/>
    <s v="Homestead Firelighters 30's - New Codes"/>
    <x v="49"/>
    <n v="16"/>
    <x v="138"/>
  </r>
  <r>
    <x v="18"/>
    <x v="25"/>
    <n v="10605"/>
    <s v="Homestead Firelighters 60's - New Codes"/>
    <x v="50"/>
    <n v="12"/>
    <x v="139"/>
  </r>
  <r>
    <x v="0"/>
    <x v="0"/>
    <m/>
    <m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12CA8-B68D-4760-9FF0-7AABB52823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5">
    <pivotField showAll="0"/>
    <pivotField showAll="0"/>
    <pivotField showAll="0"/>
    <pivotField axis="axisRow" showAll="0">
      <items count="16">
        <item x="11"/>
        <item x="1"/>
        <item x="5"/>
        <item x="6"/>
        <item x="13"/>
        <item x="12"/>
        <item x="4"/>
        <item x="3"/>
        <item x="10"/>
        <item x="8"/>
        <item x="9"/>
        <item x="14"/>
        <item x="0"/>
        <item x="7"/>
        <item x="2"/>
        <item t="default"/>
      </items>
    </pivotField>
    <pivotField dataField="1" showAll="0"/>
    <pivotField numFmtId="41"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IE / Impor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465F0-4E92-408F-9499-BA865AB3306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5">
    <pivotField showAll="0"/>
    <pivotField showAll="0"/>
    <pivotField showAll="0"/>
    <pivotField showAll="0"/>
    <pivotField showAll="0"/>
    <pivotField numFmtId="41" showAll="0"/>
    <pivotField numFmtId="41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Row" dataField="1" showAll="0">
      <items count="12">
        <item x="1"/>
        <item x="9"/>
        <item x="7"/>
        <item x="8"/>
        <item x="10"/>
        <item x="0"/>
        <item x="2"/>
        <item x="5"/>
        <item x="3"/>
        <item x="6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8"/>
    <field x="9"/>
  </rowFields>
  <rowItems count="17">
    <i>
      <x/>
    </i>
    <i r="1">
      <x v="1"/>
    </i>
    <i r="1">
      <x v="2"/>
    </i>
    <i r="1">
      <x v="3"/>
    </i>
    <i>
      <x v="1"/>
    </i>
    <i r="1">
      <x/>
    </i>
    <i r="1">
      <x v="6"/>
    </i>
    <i>
      <x v="2"/>
    </i>
    <i r="1">
      <x v="4"/>
    </i>
    <i r="1">
      <x v="5"/>
    </i>
    <i r="1">
      <x v="7"/>
    </i>
    <i r="1">
      <x v="8"/>
    </i>
    <i>
      <x v="3"/>
    </i>
    <i r="1">
      <x v="9"/>
    </i>
    <i>
      <x v="4"/>
    </i>
    <i r="1">
      <x v="10"/>
    </i>
    <i t="grand">
      <x/>
    </i>
  </rowItems>
  <colItems count="1">
    <i/>
  </colItems>
  <dataFields count="1">
    <dataField name="Count of Specific Materia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DE158-3219-40B8-BA2D-5B4AF6EC0F2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8" firstHeaderRow="1" firstDataRow="2" firstDataCol="1"/>
  <pivotFields count="15">
    <pivotField showAll="0"/>
    <pivotField showAll="0"/>
    <pivotField showAll="0"/>
    <pivotField showAll="0"/>
    <pivotField showAll="0"/>
    <pivotField numFmtId="41" showAll="0"/>
    <pivotField numFmtId="41"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showAll="0">
      <items count="12">
        <item x="1"/>
        <item x="9"/>
        <item x="7"/>
        <item x="8"/>
        <item x="10"/>
        <item x="0"/>
        <item x="2"/>
        <item x="5"/>
        <item x="3"/>
        <item x="6"/>
        <item x="4"/>
        <item t="default"/>
      </items>
    </pivotField>
    <pivotField axis="axisCol" dataField="1" showAll="0">
      <items count="17">
        <item x="0"/>
        <item x="9"/>
        <item x="1"/>
        <item x="12"/>
        <item x="14"/>
        <item x="5"/>
        <item x="3"/>
        <item x="8"/>
        <item x="4"/>
        <item x="6"/>
        <item x="11"/>
        <item x="13"/>
        <item x="15"/>
        <item x="10"/>
        <item x="2"/>
        <item x="7"/>
        <item t="default"/>
      </items>
    </pivotField>
    <pivotField showAll="0"/>
    <pivotField showAll="0"/>
    <pivotField showAll="0"/>
    <pivotField showAll="0"/>
  </pivotFields>
  <rowFields count="2">
    <field x="7"/>
    <field x="8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 v="2"/>
    </i>
    <i>
      <x v="2"/>
    </i>
    <i r="1">
      <x v="1"/>
    </i>
    <i r="1">
      <x v="2"/>
    </i>
    <i>
      <x v="3"/>
    </i>
    <i r="1">
      <x v="2"/>
    </i>
    <i r="1">
      <x v="4"/>
    </i>
    <i t="grand">
      <x/>
    </i>
  </rowItems>
  <colFields count="1">
    <field x="1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Packaging Type" fld="10" subtotal="count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B55F1-171A-463F-B205-A016FBB4B3E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6" firstHeaderRow="1" firstDataRow="2" firstDataCol="1" rowPageCount="1" colPageCount="1"/>
  <pivotFields count="15">
    <pivotField showAll="0"/>
    <pivotField showAll="0"/>
    <pivotField showAll="0"/>
    <pivotField showAll="0"/>
    <pivotField showAll="0"/>
    <pivotField numFmtId="41" showAll="0"/>
    <pivotField numFmtId="41" showAll="0"/>
    <pivotField axis="axisPage" showAll="0">
      <items count="5">
        <item x="0"/>
        <item x="3"/>
        <item x="1"/>
        <item x="2"/>
        <item t="default"/>
      </items>
    </pivotField>
    <pivotField axis="axisCol" showAll="0">
      <items count="6">
        <item x="4"/>
        <item x="1"/>
        <item x="0"/>
        <item x="3"/>
        <item x="2"/>
        <item t="default"/>
      </items>
    </pivotField>
    <pivotField axis="axisRow" dataField="1" showAll="0">
      <items count="12">
        <item x="1"/>
        <item x="9"/>
        <item x="7"/>
        <item x="8"/>
        <item x="10"/>
        <item x="0"/>
        <item x="2"/>
        <item x="5"/>
        <item x="3"/>
        <item x="6"/>
        <item x="4"/>
        <item t="default"/>
      </items>
    </pivotField>
    <pivotField showAll="0"/>
    <pivotField showAll="0"/>
    <pivotField showAll="0">
      <items count="87">
        <item x="35"/>
        <item x="43"/>
        <item x="18"/>
        <item x="25"/>
        <item x="8"/>
        <item x="31"/>
        <item x="77"/>
        <item x="10"/>
        <item x="28"/>
        <item x="57"/>
        <item x="15"/>
        <item x="14"/>
        <item x="17"/>
        <item x="71"/>
        <item x="12"/>
        <item x="40"/>
        <item x="69"/>
        <item x="6"/>
        <item x="68"/>
        <item x="81"/>
        <item x="65"/>
        <item x="63"/>
        <item x="52"/>
        <item x="5"/>
        <item x="60"/>
        <item x="67"/>
        <item x="0"/>
        <item x="46"/>
        <item x="20"/>
        <item x="56"/>
        <item x="49"/>
        <item x="80"/>
        <item x="51"/>
        <item x="83"/>
        <item x="21"/>
        <item x="74"/>
        <item x="29"/>
        <item x="85"/>
        <item x="53"/>
        <item x="78"/>
        <item x="45"/>
        <item x="50"/>
        <item x="47"/>
        <item x="23"/>
        <item x="54"/>
        <item x="64"/>
        <item x="75"/>
        <item x="44"/>
        <item x="33"/>
        <item x="39"/>
        <item x="48"/>
        <item x="84"/>
        <item x="79"/>
        <item x="82"/>
        <item x="76"/>
        <item x="38"/>
        <item x="72"/>
        <item x="36"/>
        <item x="4"/>
        <item x="37"/>
        <item x="34"/>
        <item x="61"/>
        <item x="70"/>
        <item x="32"/>
        <item x="2"/>
        <item x="30"/>
        <item x="55"/>
        <item x="41"/>
        <item x="22"/>
        <item x="1"/>
        <item x="73"/>
        <item x="59"/>
        <item x="3"/>
        <item x="26"/>
        <item x="9"/>
        <item x="42"/>
        <item x="27"/>
        <item x="11"/>
        <item x="58"/>
        <item x="66"/>
        <item x="62"/>
        <item x="16"/>
        <item x="13"/>
        <item x="19"/>
        <item x="7"/>
        <item x="24"/>
        <item t="default"/>
      </items>
    </pivotField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ount of Specific Materia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2F88-5E75-4CD6-8003-275BF3E2CDF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1" firstDataRow="2" firstDataCol="1"/>
  <pivotFields count="15">
    <pivotField showAll="0"/>
    <pivotField showAll="0"/>
    <pivotField showAll="0"/>
    <pivotField showAll="0"/>
    <pivotField showAll="0"/>
    <pivotField numFmtId="41" showAll="0"/>
    <pivotField numFmtId="41" showAll="0"/>
    <pivotField showAll="0"/>
    <pivotField showAll="0"/>
    <pivotField axis="axisRow" showAll="0">
      <items count="12">
        <item x="1"/>
        <item x="9"/>
        <item x="7"/>
        <item x="8"/>
        <item x="10"/>
        <item x="0"/>
        <item x="2"/>
        <item x="5"/>
        <item x="3"/>
        <item x="6"/>
        <item x="4"/>
        <item t="default"/>
      </items>
    </pivotField>
    <pivotField showAll="0"/>
    <pivotField showAll="0"/>
    <pivotField dataField="1" showAll="0"/>
    <pivotField axis="axisCol" showAll="0">
      <items count="2">
        <item x="0"/>
        <item t="default"/>
      </items>
    </pivotField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2">
    <i>
      <x/>
    </i>
    <i t="grand">
      <x/>
    </i>
  </colItems>
  <dataFields count="1">
    <dataField name="Sum of Weigh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4A5A4-6AA1-4A2A-9B12-68D0C79D31E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3" firstHeaderRow="0" firstDataRow="1" firstDataCol="1"/>
  <pivotFields count="7">
    <pivotField axis="axisRow" showAll="0">
      <items count="20">
        <item x="11"/>
        <item x="15"/>
        <item x="16"/>
        <item x="2"/>
        <item x="4"/>
        <item x="1"/>
        <item x="5"/>
        <item x="9"/>
        <item x="12"/>
        <item x="10"/>
        <item x="14"/>
        <item x="8"/>
        <item x="3"/>
        <item x="18"/>
        <item x="17"/>
        <item x="13"/>
        <item x="6"/>
        <item x="7"/>
        <item x="0"/>
        <item t="default"/>
      </items>
    </pivotField>
    <pivotField showAll="0"/>
    <pivotField showAll="0"/>
    <pivotField showAll="0"/>
    <pivotField dataField="1" showAll="0">
      <items count="52">
        <item x="8"/>
        <item x="13"/>
        <item x="42"/>
        <item x="1"/>
        <item x="29"/>
        <item x="35"/>
        <item x="45"/>
        <item x="4"/>
        <item x="30"/>
        <item x="17"/>
        <item x="3"/>
        <item x="49"/>
        <item x="5"/>
        <item x="50"/>
        <item x="23"/>
        <item x="2"/>
        <item x="14"/>
        <item x="7"/>
        <item x="18"/>
        <item x="40"/>
        <item x="19"/>
        <item x="43"/>
        <item x="11"/>
        <item x="31"/>
        <item x="21"/>
        <item x="34"/>
        <item x="48"/>
        <item x="6"/>
        <item x="16"/>
        <item x="36"/>
        <item x="15"/>
        <item x="46"/>
        <item x="10"/>
        <item x="22"/>
        <item x="20"/>
        <item x="25"/>
        <item x="37"/>
        <item x="41"/>
        <item x="27"/>
        <item x="26"/>
        <item x="39"/>
        <item x="24"/>
        <item x="32"/>
        <item x="33"/>
        <item x="9"/>
        <item x="12"/>
        <item x="38"/>
        <item x="47"/>
        <item x="44"/>
        <item x="28"/>
        <item x="0"/>
        <item t="default"/>
      </items>
    </pivotField>
    <pivotField dataField="1" showAll="0"/>
    <pivotField dataField="1" showAll="0">
      <items count="141">
        <item x="115"/>
        <item x="60"/>
        <item x="9"/>
        <item x="68"/>
        <item x="53"/>
        <item x="4"/>
        <item x="71"/>
        <item x="67"/>
        <item x="63"/>
        <item x="69"/>
        <item x="26"/>
        <item x="70"/>
        <item x="3"/>
        <item x="45"/>
        <item x="126"/>
        <item x="7"/>
        <item x="20"/>
        <item x="5"/>
        <item x="41"/>
        <item x="17"/>
        <item x="84"/>
        <item x="43"/>
        <item x="19"/>
        <item x="6"/>
        <item x="44"/>
        <item x="82"/>
        <item x="64"/>
        <item x="25"/>
        <item x="8"/>
        <item x="36"/>
        <item x="24"/>
        <item x="12"/>
        <item x="35"/>
        <item x="23"/>
        <item x="42"/>
        <item x="89"/>
        <item x="10"/>
        <item x="65"/>
        <item x="88"/>
        <item x="18"/>
        <item x="61"/>
        <item x="107"/>
        <item x="85"/>
        <item x="114"/>
        <item x="16"/>
        <item x="119"/>
        <item x="120"/>
        <item x="131"/>
        <item x="91"/>
        <item x="22"/>
        <item x="21"/>
        <item x="95"/>
        <item x="54"/>
        <item x="90"/>
        <item x="118"/>
        <item x="62"/>
        <item x="87"/>
        <item x="72"/>
        <item x="122"/>
        <item x="46"/>
        <item x="109"/>
        <item x="80"/>
        <item x="92"/>
        <item x="94"/>
        <item x="102"/>
        <item x="105"/>
        <item x="57"/>
        <item x="135"/>
        <item x="52"/>
        <item x="121"/>
        <item x="110"/>
        <item x="108"/>
        <item x="14"/>
        <item x="99"/>
        <item x="79"/>
        <item x="32"/>
        <item x="111"/>
        <item x="98"/>
        <item x="104"/>
        <item x="97"/>
        <item x="134"/>
        <item x="76"/>
        <item x="15"/>
        <item x="50"/>
        <item x="51"/>
        <item x="96"/>
        <item x="83"/>
        <item x="113"/>
        <item x="127"/>
        <item x="93"/>
        <item x="117"/>
        <item x="1"/>
        <item x="86"/>
        <item x="78"/>
        <item x="66"/>
        <item x="11"/>
        <item x="103"/>
        <item x="47"/>
        <item x="75"/>
        <item x="28"/>
        <item x="2"/>
        <item x="37"/>
        <item x="112"/>
        <item x="40"/>
        <item x="81"/>
        <item x="133"/>
        <item x="101"/>
        <item x="49"/>
        <item x="30"/>
        <item x="123"/>
        <item x="56"/>
        <item x="100"/>
        <item x="59"/>
        <item x="116"/>
        <item x="77"/>
        <item x="31"/>
        <item x="106"/>
        <item x="128"/>
        <item x="29"/>
        <item x="34"/>
        <item x="58"/>
        <item x="132"/>
        <item x="55"/>
        <item x="74"/>
        <item x="125"/>
        <item x="73"/>
        <item x="39"/>
        <item x="33"/>
        <item x="27"/>
        <item x="137"/>
        <item x="48"/>
        <item x="124"/>
        <item x="13"/>
        <item x="129"/>
        <item x="138"/>
        <item x="130"/>
        <item x="38"/>
        <item x="139"/>
        <item x="136"/>
        <item x="0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ack" fld="4" subtotal="count" baseField="0" baseItem="0"/>
    <dataField name="Sum of Case Qty" fld="5" baseField="0" baseItem="0"/>
    <dataField name="Sum of Total Volume 2024" fld="6" baseField="0" baseItem="0"/>
  </dataFields>
  <formats count="2">
    <format dxfId="3">
      <pivotArea collapsedLevelsAreSubtotals="1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2DE52-913F-4F78-9F41-F1DBEC8A7D6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7">
    <pivotField axis="axisRow" showAll="0">
      <items count="20">
        <item x="11"/>
        <item x="12"/>
        <item x="13"/>
        <item x="1"/>
        <item x="2"/>
        <item x="3"/>
        <item x="4"/>
        <item x="5"/>
        <item x="14"/>
        <item x="6"/>
        <item x="15"/>
        <item x="7"/>
        <item x="8"/>
        <item x="16"/>
        <item x="17"/>
        <item x="18"/>
        <item x="9"/>
        <item x="10"/>
        <item x="0"/>
        <item t="default"/>
      </items>
    </pivotField>
    <pivotField showAll="0">
      <items count="27">
        <item x="10"/>
        <item x="1"/>
        <item x="19"/>
        <item x="16"/>
        <item x="17"/>
        <item x="14"/>
        <item x="4"/>
        <item x="25"/>
        <item x="12"/>
        <item x="22"/>
        <item x="15"/>
        <item x="18"/>
        <item x="21"/>
        <item x="3"/>
        <item x="5"/>
        <item x="11"/>
        <item x="24"/>
        <item x="20"/>
        <item x="2"/>
        <item x="6"/>
        <item x="13"/>
        <item x="7"/>
        <item x="9"/>
        <item x="8"/>
        <item x="23"/>
        <item x="0"/>
        <item t="default"/>
      </items>
    </pivotField>
    <pivotField showAll="0">
      <items count="139">
        <item x="74"/>
        <item x="87"/>
        <item x="93"/>
        <item x="81"/>
        <item x="82"/>
        <item x="83"/>
        <item x="85"/>
        <item x="84"/>
        <item x="86"/>
        <item x="103"/>
        <item x="102"/>
        <item x="110"/>
        <item x="111"/>
        <item x="113"/>
        <item x="112"/>
        <item x="108"/>
        <item x="109"/>
        <item x="35"/>
        <item x="14"/>
        <item x="53"/>
        <item x="54"/>
        <item x="55"/>
        <item x="50"/>
        <item x="51"/>
        <item x="52"/>
        <item x="56"/>
        <item x="57"/>
        <item x="59"/>
        <item x="15"/>
        <item x="16"/>
        <item x="17"/>
        <item x="26"/>
        <item x="21"/>
        <item x="23"/>
        <item x="22"/>
        <item x="24"/>
        <item x="25"/>
        <item x="11"/>
        <item x="12"/>
        <item x="13"/>
        <item x="8"/>
        <item x="9"/>
        <item x="10"/>
        <item x="40"/>
        <item x="42"/>
        <item x="41"/>
        <item x="43"/>
        <item x="44"/>
        <item x="45"/>
        <item x="67"/>
        <item x="63"/>
        <item x="64"/>
        <item x="65"/>
        <item x="98"/>
        <item x="71"/>
        <item x="68"/>
        <item x="94"/>
        <item x="95"/>
        <item x="96"/>
        <item x="97"/>
        <item x="132"/>
        <item x="131"/>
        <item x="130"/>
        <item x="137"/>
        <item x="136"/>
        <item x="135"/>
        <item x="36"/>
        <item x="105"/>
        <item x="106"/>
        <item x="107"/>
        <item x="32"/>
        <item x="27"/>
        <item x="28"/>
        <item x="29"/>
        <item x="30"/>
        <item x="31"/>
        <item x="49"/>
        <item x="72"/>
        <item x="66"/>
        <item x="75"/>
        <item x="76"/>
        <item x="77"/>
        <item x="115"/>
        <item x="118"/>
        <item x="78"/>
        <item x="79"/>
        <item x="101"/>
        <item x="100"/>
        <item x="58"/>
        <item x="60"/>
        <item x="62"/>
        <item x="89"/>
        <item x="90"/>
        <item x="18"/>
        <item x="128"/>
        <item x="129"/>
        <item x="91"/>
        <item x="61"/>
        <item x="33"/>
        <item x="38"/>
        <item x="39"/>
        <item x="34"/>
        <item x="37"/>
        <item x="88"/>
        <item x="5"/>
        <item x="114"/>
        <item x="116"/>
        <item x="99"/>
        <item x="7"/>
        <item x="6"/>
        <item x="3"/>
        <item x="125"/>
        <item x="80"/>
        <item x="1"/>
        <item x="2"/>
        <item x="92"/>
        <item x="19"/>
        <item x="20"/>
        <item x="4"/>
        <item x="69"/>
        <item x="47"/>
        <item x="46"/>
        <item x="48"/>
        <item x="127"/>
        <item x="123"/>
        <item x="124"/>
        <item x="117"/>
        <item x="119"/>
        <item x="104"/>
        <item x="133"/>
        <item x="134"/>
        <item x="122"/>
        <item x="126"/>
        <item x="121"/>
        <item x="120"/>
        <item x="70"/>
        <item x="73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 Volume 2024" fld="6" baseField="0" baseItem="0"/>
  </dataFields>
  <formats count="2">
    <format dxfId="1">
      <pivotArea collapsedLevelsAreSubtotals="1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2AB5A-72A5-45EC-A4C9-5C65EA5469B5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7">
    <pivotField showAll="0"/>
    <pivotField axis="axisRow" showAll="0">
      <items count="27">
        <item x="8"/>
        <item x="13"/>
        <item x="18"/>
        <item x="14"/>
        <item x="15"/>
        <item x="23"/>
        <item x="11"/>
        <item x="21"/>
        <item x="4"/>
        <item x="25"/>
        <item x="17"/>
        <item x="19"/>
        <item x="22"/>
        <item x="2"/>
        <item x="5"/>
        <item x="10"/>
        <item x="20"/>
        <item x="16"/>
        <item x="3"/>
        <item x="12"/>
        <item x="7"/>
        <item x="1"/>
        <item x="6"/>
        <item x="9"/>
        <item x="24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Total Volume 2024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ulrines.ie/carbon-reduction/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s://corporate.bic.com/en-US/commitments/sustainability" TargetMode="External"/><Relationship Id="rId7" Type="http://schemas.openxmlformats.org/officeDocument/2006/relationships/hyperlink" Target="https://irishdogfoods.com/sustainability/" TargetMode="External"/><Relationship Id="rId12" Type="http://schemas.openxmlformats.org/officeDocument/2006/relationships/hyperlink" Target="https://www.valeofoodsgroup.com/Valeo/media/ValeoSetupImages/pdfs/Valeo-Foods-2025-Sustainability-Report-Singles.pdf" TargetMode="External"/><Relationship Id="rId2" Type="http://schemas.openxmlformats.org/officeDocument/2006/relationships/hyperlink" Target="https://www.tandr.ie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rspo.org/as-an-organisation/certification/" TargetMode="External"/><Relationship Id="rId11" Type="http://schemas.openxmlformats.org/officeDocument/2006/relationships/hyperlink" Target="https://www.valeofoodsgroup.com/sustainability/our-vision" TargetMode="External"/><Relationship Id="rId5" Type="http://schemas.openxmlformats.org/officeDocument/2006/relationships/hyperlink" Target="https://www.essity.com/sustainability/" TargetMode="External"/><Relationship Id="rId10" Type="http://schemas.openxmlformats.org/officeDocument/2006/relationships/hyperlink" Target="https://zipfires.ie/sustainability" TargetMode="External"/><Relationship Id="rId4" Type="http://schemas.openxmlformats.org/officeDocument/2006/relationships/hyperlink" Target="https://barrygroup.ie/reports-and-publications/" TargetMode="External"/><Relationship Id="rId9" Type="http://schemas.openxmlformats.org/officeDocument/2006/relationships/hyperlink" Target="https://shabra.com/sustainability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2EE3-CA2D-413E-91A6-F8DF1A654EE9}">
  <dimension ref="B2:E94"/>
  <sheetViews>
    <sheetView zoomScale="205" zoomScaleNormal="205" workbookViewId="0">
      <selection activeCell="B11" sqref="B11"/>
    </sheetView>
  </sheetViews>
  <sheetFormatPr defaultRowHeight="15" x14ac:dyDescent="0.25"/>
  <cols>
    <col min="2" max="2" width="26.7109375" bestFit="1" customWidth="1"/>
    <col min="3" max="3" width="12" bestFit="1" customWidth="1"/>
    <col min="4" max="4" width="11" bestFit="1" customWidth="1"/>
    <col min="5" max="5" width="11.42578125" bestFit="1" customWidth="1"/>
  </cols>
  <sheetData>
    <row r="2" spans="2:5" ht="20.25" thickBot="1" x14ac:dyDescent="0.35">
      <c r="B2" s="94" t="s">
        <v>499</v>
      </c>
      <c r="C2" s="94" t="s">
        <v>518</v>
      </c>
      <c r="D2" s="94" t="s">
        <v>519</v>
      </c>
      <c r="E2" s="96" t="s">
        <v>520</v>
      </c>
    </row>
    <row r="3" spans="2:5" ht="15.75" thickTop="1" x14ac:dyDescent="0.25">
      <c r="B3" t="s">
        <v>469</v>
      </c>
      <c r="C3" s="95">
        <v>2244.56</v>
      </c>
      <c r="D3" s="95">
        <v>2786.1</v>
      </c>
      <c r="E3" s="95">
        <f>SUM(C3:D3)</f>
        <v>5030.66</v>
      </c>
    </row>
    <row r="4" spans="2:5" x14ac:dyDescent="0.25">
      <c r="B4" t="s">
        <v>484</v>
      </c>
      <c r="C4" s="95">
        <v>1494.01</v>
      </c>
      <c r="D4" s="95">
        <v>1886.44</v>
      </c>
      <c r="E4" s="95">
        <f t="shared" ref="E4:E15" si="0">SUM(C4:D4)</f>
        <v>3380.45</v>
      </c>
    </row>
    <row r="5" spans="2:5" x14ac:dyDescent="0.25">
      <c r="B5" t="s">
        <v>486</v>
      </c>
      <c r="C5" s="95">
        <v>1295.83</v>
      </c>
      <c r="D5" s="95">
        <v>0</v>
      </c>
      <c r="E5" s="95">
        <f t="shared" si="0"/>
        <v>1295.83</v>
      </c>
    </row>
    <row r="6" spans="2:5" x14ac:dyDescent="0.25">
      <c r="B6" t="s">
        <v>475</v>
      </c>
      <c r="C6" s="95">
        <v>884.34</v>
      </c>
      <c r="D6" s="95">
        <v>1078.73</v>
      </c>
      <c r="E6" s="95">
        <f t="shared" si="0"/>
        <v>1963.0700000000002</v>
      </c>
    </row>
    <row r="7" spans="2:5" x14ac:dyDescent="0.25">
      <c r="B7" t="s">
        <v>490</v>
      </c>
      <c r="C7" s="95">
        <v>101.41</v>
      </c>
      <c r="D7" s="95">
        <v>606.61</v>
      </c>
      <c r="E7" s="95">
        <f t="shared" si="0"/>
        <v>708.02</v>
      </c>
    </row>
    <row r="8" spans="2:5" x14ac:dyDescent="0.25">
      <c r="B8" t="s">
        <v>481</v>
      </c>
      <c r="C8" s="95">
        <v>81.67</v>
      </c>
      <c r="D8" s="95">
        <v>80.25</v>
      </c>
      <c r="E8" s="95">
        <f t="shared" si="0"/>
        <v>161.92000000000002</v>
      </c>
    </row>
    <row r="9" spans="2:5" x14ac:dyDescent="0.25">
      <c r="B9" t="s">
        <v>492</v>
      </c>
      <c r="C9" s="95">
        <v>65.66</v>
      </c>
      <c r="D9" s="95">
        <v>31.29</v>
      </c>
      <c r="E9" s="95">
        <f t="shared" si="0"/>
        <v>96.949999999999989</v>
      </c>
    </row>
    <row r="10" spans="2:5" x14ac:dyDescent="0.25">
      <c r="B10" t="s">
        <v>501</v>
      </c>
      <c r="C10" s="95">
        <v>0.25</v>
      </c>
      <c r="D10" s="95">
        <v>0.26</v>
      </c>
      <c r="E10" s="95">
        <f t="shared" si="0"/>
        <v>0.51</v>
      </c>
    </row>
    <row r="11" spans="2:5" x14ac:dyDescent="0.25">
      <c r="B11" t="s">
        <v>513</v>
      </c>
      <c r="C11" s="95">
        <v>0</v>
      </c>
      <c r="D11" s="95">
        <v>170.15</v>
      </c>
      <c r="E11" s="95">
        <f t="shared" si="0"/>
        <v>170.15</v>
      </c>
    </row>
    <row r="12" spans="2:5" x14ac:dyDescent="0.25">
      <c r="B12" t="s">
        <v>516</v>
      </c>
      <c r="C12" s="95">
        <v>0</v>
      </c>
      <c r="D12" s="95">
        <v>0</v>
      </c>
      <c r="E12" s="95">
        <f t="shared" si="0"/>
        <v>0</v>
      </c>
    </row>
    <row r="13" spans="2:5" x14ac:dyDescent="0.25">
      <c r="B13" t="s">
        <v>515</v>
      </c>
      <c r="C13" s="95">
        <v>0</v>
      </c>
      <c r="D13" s="95">
        <v>0</v>
      </c>
      <c r="E13" s="95">
        <f t="shared" si="0"/>
        <v>0</v>
      </c>
    </row>
    <row r="14" spans="2:5" x14ac:dyDescent="0.25">
      <c r="B14" t="s">
        <v>502</v>
      </c>
      <c r="C14" s="95">
        <v>0</v>
      </c>
      <c r="D14" s="95">
        <v>0</v>
      </c>
      <c r="E14" s="95">
        <f t="shared" si="0"/>
        <v>0</v>
      </c>
    </row>
    <row r="15" spans="2:5" x14ac:dyDescent="0.25">
      <c r="B15" t="s">
        <v>517</v>
      </c>
      <c r="C15" s="95">
        <v>0</v>
      </c>
      <c r="D15" s="95">
        <v>0</v>
      </c>
      <c r="E15" s="95">
        <f t="shared" si="0"/>
        <v>0</v>
      </c>
    </row>
    <row r="18" spans="2:5" ht="20.25" thickBot="1" x14ac:dyDescent="0.35">
      <c r="B18" s="94" t="s">
        <v>499</v>
      </c>
      <c r="C18" s="94" t="s">
        <v>520</v>
      </c>
      <c r="D18" s="94" t="s">
        <v>521</v>
      </c>
      <c r="E18" s="96" t="s">
        <v>526</v>
      </c>
    </row>
    <row r="19" spans="2:5" ht="15.75" thickTop="1" x14ac:dyDescent="0.25">
      <c r="B19" s="37" t="s">
        <v>469</v>
      </c>
      <c r="C19" s="95">
        <v>5030.66</v>
      </c>
      <c r="D19" s="98">
        <f t="shared" ref="D19:D31" si="1">C19/$C$32</f>
        <v>0.39278832189737933</v>
      </c>
      <c r="E19" s="95">
        <f>C19*(1-$C$38)</f>
        <v>754.59900000000005</v>
      </c>
    </row>
    <row r="20" spans="2:5" x14ac:dyDescent="0.25">
      <c r="B20" s="48" t="s">
        <v>484</v>
      </c>
      <c r="C20" s="95">
        <v>3380.45</v>
      </c>
      <c r="D20" s="98">
        <f t="shared" si="1"/>
        <v>0.26394176564466609</v>
      </c>
      <c r="E20" s="95">
        <f>C20*(1-$C$39)</f>
        <v>1521.2024999999999</v>
      </c>
    </row>
    <row r="21" spans="2:5" x14ac:dyDescent="0.25">
      <c r="B21" s="99" t="s">
        <v>475</v>
      </c>
      <c r="C21" s="95">
        <v>1963.0700000000002</v>
      </c>
      <c r="D21" s="98">
        <f t="shared" si="1"/>
        <v>0.15327431610704928</v>
      </c>
      <c r="E21" s="95">
        <f>C21*(1-$C$41)</f>
        <v>392.61399999999992</v>
      </c>
    </row>
    <row r="22" spans="2:5" x14ac:dyDescent="0.25">
      <c r="B22" s="48" t="s">
        <v>486</v>
      </c>
      <c r="C22" s="95">
        <v>1295.83</v>
      </c>
      <c r="D22" s="98">
        <f t="shared" si="1"/>
        <v>0.10117696110734596</v>
      </c>
      <c r="E22" s="95">
        <f>C22*(1-$C$39)</f>
        <v>583.12349999999992</v>
      </c>
    </row>
    <row r="23" spans="2:5" x14ac:dyDescent="0.25">
      <c r="B23" s="48" t="s">
        <v>490</v>
      </c>
      <c r="C23" s="95">
        <v>708.02</v>
      </c>
      <c r="D23" s="98">
        <f t="shared" si="1"/>
        <v>5.5281411916087056E-2</v>
      </c>
      <c r="E23" s="95">
        <f>C23*(1-$C$39)</f>
        <v>318.60899999999998</v>
      </c>
    </row>
    <row r="24" spans="2:5" x14ac:dyDescent="0.25">
      <c r="B24" t="s">
        <v>513</v>
      </c>
      <c r="C24" s="95">
        <v>170.15</v>
      </c>
      <c r="D24" s="98">
        <f t="shared" si="1"/>
        <v>1.3285122224686044E-2</v>
      </c>
    </row>
    <row r="25" spans="2:5" x14ac:dyDescent="0.25">
      <c r="B25" s="48" t="s">
        <v>481</v>
      </c>
      <c r="C25" s="95">
        <v>161.92000000000002</v>
      </c>
      <c r="D25" s="98">
        <f t="shared" si="1"/>
        <v>1.2642533003944545E-2</v>
      </c>
      <c r="E25" s="95">
        <f>C25*(1-$C$39)</f>
        <v>72.864000000000004</v>
      </c>
    </row>
    <row r="26" spans="2:5" x14ac:dyDescent="0.25">
      <c r="B26" s="37" t="s">
        <v>492</v>
      </c>
      <c r="C26" s="95">
        <v>96.949999999999989</v>
      </c>
      <c r="D26" s="98">
        <f t="shared" si="1"/>
        <v>7.569747867665658E-3</v>
      </c>
      <c r="E26" s="95">
        <f>C26*(1-$C$42)</f>
        <v>14.5425</v>
      </c>
    </row>
    <row r="27" spans="2:5" x14ac:dyDescent="0.25">
      <c r="B27" s="48" t="s">
        <v>501</v>
      </c>
      <c r="C27" s="95">
        <v>0.51</v>
      </c>
      <c r="D27" s="98">
        <f t="shared" si="1"/>
        <v>3.9820231175961696E-5</v>
      </c>
      <c r="E27" s="95">
        <f>C27*(1-$C$39)</f>
        <v>0.22949999999999998</v>
      </c>
    </row>
    <row r="28" spans="2:5" x14ac:dyDescent="0.25">
      <c r="B28" s="99" t="s">
        <v>516</v>
      </c>
      <c r="C28" s="95">
        <v>0</v>
      </c>
      <c r="D28" s="98">
        <f t="shared" si="1"/>
        <v>0</v>
      </c>
      <c r="E28" s="95">
        <f>C28*(1-$C$41)</f>
        <v>0</v>
      </c>
    </row>
    <row r="29" spans="2:5" x14ac:dyDescent="0.25">
      <c r="B29" s="37" t="s">
        <v>515</v>
      </c>
      <c r="C29" s="95">
        <v>0</v>
      </c>
      <c r="D29" s="98">
        <f t="shared" si="1"/>
        <v>0</v>
      </c>
      <c r="E29" s="95">
        <f>C29*(1-$C$38)</f>
        <v>0</v>
      </c>
    </row>
    <row r="30" spans="2:5" x14ac:dyDescent="0.25">
      <c r="B30" s="48" t="s">
        <v>502</v>
      </c>
      <c r="C30" s="95">
        <v>0</v>
      </c>
      <c r="D30" s="98">
        <f t="shared" si="1"/>
        <v>0</v>
      </c>
      <c r="E30" s="95">
        <f>C30*(1-$C$39)</f>
        <v>0</v>
      </c>
    </row>
    <row r="31" spans="2:5" x14ac:dyDescent="0.25">
      <c r="B31" s="48" t="s">
        <v>517</v>
      </c>
      <c r="C31" s="95">
        <v>0</v>
      </c>
      <c r="D31" s="98">
        <f t="shared" si="1"/>
        <v>0</v>
      </c>
      <c r="E31" s="95">
        <f>C31*(1-$C$39)</f>
        <v>0</v>
      </c>
    </row>
    <row r="32" spans="2:5" x14ac:dyDescent="0.25">
      <c r="B32" t="s">
        <v>522</v>
      </c>
      <c r="C32" s="95">
        <f>SUM(C19:C31)</f>
        <v>12807.560000000001</v>
      </c>
    </row>
    <row r="34" spans="2:3" x14ac:dyDescent="0.25">
      <c r="B34" t="s">
        <v>30</v>
      </c>
      <c r="C34" s="95">
        <f>SUM(C20,C22,C23,C25,C27,C30,C31)</f>
        <v>5546.73</v>
      </c>
    </row>
    <row r="35" spans="2:3" x14ac:dyDescent="0.25">
      <c r="B35" t="s">
        <v>523</v>
      </c>
      <c r="C35" s="97">
        <f>C34/C32</f>
        <v>0.43308249190321957</v>
      </c>
    </row>
    <row r="38" spans="2:3" x14ac:dyDescent="0.25">
      <c r="B38" t="s">
        <v>21</v>
      </c>
      <c r="C38">
        <v>0.85</v>
      </c>
    </row>
    <row r="39" spans="2:3" x14ac:dyDescent="0.25">
      <c r="B39" t="s">
        <v>30</v>
      </c>
      <c r="C39">
        <v>0.55000000000000004</v>
      </c>
    </row>
    <row r="40" spans="2:3" x14ac:dyDescent="0.25">
      <c r="B40" t="s">
        <v>524</v>
      </c>
      <c r="C40">
        <v>0.9</v>
      </c>
    </row>
    <row r="41" spans="2:3" x14ac:dyDescent="0.25">
      <c r="B41" t="s">
        <v>525</v>
      </c>
      <c r="C41">
        <v>0.8</v>
      </c>
    </row>
    <row r="42" spans="2:3" x14ac:dyDescent="0.25">
      <c r="B42" t="s">
        <v>121</v>
      </c>
      <c r="C42">
        <v>0.85</v>
      </c>
    </row>
    <row r="61" spans="2:3" ht="16.5" x14ac:dyDescent="0.25">
      <c r="B61" s="100" t="s">
        <v>21</v>
      </c>
      <c r="C61" s="101">
        <v>0.85</v>
      </c>
    </row>
    <row r="62" spans="2:3" ht="16.5" x14ac:dyDescent="0.25">
      <c r="B62" s="102" t="s">
        <v>30</v>
      </c>
      <c r="C62" s="103">
        <v>0.55000000000000004</v>
      </c>
    </row>
    <row r="63" spans="2:3" ht="16.5" x14ac:dyDescent="0.25">
      <c r="B63" s="100" t="s">
        <v>524</v>
      </c>
      <c r="C63" s="101">
        <v>0.9</v>
      </c>
    </row>
    <row r="64" spans="2:3" ht="16.5" x14ac:dyDescent="0.25">
      <c r="B64" s="102" t="s">
        <v>525</v>
      </c>
      <c r="C64" s="103">
        <v>0.8</v>
      </c>
    </row>
    <row r="65" spans="2:3" ht="16.5" x14ac:dyDescent="0.25">
      <c r="B65" s="100" t="s">
        <v>121</v>
      </c>
      <c r="C65" s="101">
        <v>0.85</v>
      </c>
    </row>
    <row r="81" spans="2:4" ht="18" thickBot="1" x14ac:dyDescent="0.35">
      <c r="B81" s="104" t="s">
        <v>499</v>
      </c>
      <c r="C81" s="104" t="s">
        <v>520</v>
      </c>
      <c r="D81" s="104" t="s">
        <v>526</v>
      </c>
    </row>
    <row r="82" spans="2:4" ht="15.75" thickTop="1" x14ac:dyDescent="0.25">
      <c r="B82" t="s">
        <v>469</v>
      </c>
      <c r="C82" s="95">
        <v>5030.66</v>
      </c>
      <c r="D82" s="95">
        <v>754.59900000000005</v>
      </c>
    </row>
    <row r="83" spans="2:4" x14ac:dyDescent="0.25">
      <c r="B83" t="s">
        <v>484</v>
      </c>
      <c r="C83" s="95">
        <v>3380.45</v>
      </c>
      <c r="D83" s="95">
        <v>1521.2024999999999</v>
      </c>
    </row>
    <row r="84" spans="2:4" x14ac:dyDescent="0.25">
      <c r="B84" t="s">
        <v>475</v>
      </c>
      <c r="C84" s="95">
        <v>1963.0700000000002</v>
      </c>
      <c r="D84" s="95">
        <v>392.61399999999992</v>
      </c>
    </row>
    <row r="85" spans="2:4" x14ac:dyDescent="0.25">
      <c r="B85" t="s">
        <v>486</v>
      </c>
      <c r="C85" s="95">
        <v>1295.83</v>
      </c>
      <c r="D85" s="95">
        <v>583.12349999999992</v>
      </c>
    </row>
    <row r="86" spans="2:4" x14ac:dyDescent="0.25">
      <c r="B86" t="s">
        <v>490</v>
      </c>
      <c r="C86" s="95">
        <v>708.02</v>
      </c>
      <c r="D86" s="95">
        <v>318.60899999999998</v>
      </c>
    </row>
    <row r="87" spans="2:4" x14ac:dyDescent="0.25">
      <c r="B87" t="s">
        <v>513</v>
      </c>
      <c r="C87" s="95">
        <v>170.15</v>
      </c>
      <c r="D87" s="95"/>
    </row>
    <row r="88" spans="2:4" x14ac:dyDescent="0.25">
      <c r="B88" t="s">
        <v>481</v>
      </c>
      <c r="C88" s="95">
        <v>161.92000000000002</v>
      </c>
      <c r="D88" s="95">
        <v>72.864000000000004</v>
      </c>
    </row>
    <row r="89" spans="2:4" x14ac:dyDescent="0.25">
      <c r="B89" t="s">
        <v>492</v>
      </c>
      <c r="C89" s="95">
        <v>96.949999999999989</v>
      </c>
      <c r="D89" s="95">
        <v>14.5425</v>
      </c>
    </row>
    <row r="90" spans="2:4" x14ac:dyDescent="0.25">
      <c r="B90" t="s">
        <v>501</v>
      </c>
      <c r="C90" s="95">
        <v>0.51</v>
      </c>
      <c r="D90" s="95">
        <v>0.22949999999999998</v>
      </c>
    </row>
    <row r="91" spans="2:4" x14ac:dyDescent="0.25">
      <c r="B91" t="s">
        <v>516</v>
      </c>
      <c r="C91" s="95">
        <v>0</v>
      </c>
      <c r="D91" s="95">
        <v>0</v>
      </c>
    </row>
    <row r="92" spans="2:4" x14ac:dyDescent="0.25">
      <c r="B92" t="s">
        <v>515</v>
      </c>
      <c r="C92" s="95">
        <v>0</v>
      </c>
      <c r="D92" s="95">
        <v>0</v>
      </c>
    </row>
    <row r="93" spans="2:4" x14ac:dyDescent="0.25">
      <c r="B93" t="s">
        <v>502</v>
      </c>
      <c r="C93" s="95">
        <v>0</v>
      </c>
      <c r="D93" s="95">
        <v>0</v>
      </c>
    </row>
    <row r="94" spans="2:4" x14ac:dyDescent="0.25">
      <c r="B94" t="s">
        <v>517</v>
      </c>
      <c r="C94" s="95">
        <v>0</v>
      </c>
      <c r="D94" s="95">
        <v>0</v>
      </c>
    </row>
  </sheetData>
  <sortState xmlns:xlrd2="http://schemas.microsoft.com/office/spreadsheetml/2017/richdata2" ref="B19:D31">
    <sortCondition descending="1" ref="C19:C3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F6DD-C2D8-47AF-A376-4D81E96416F3}">
  <dimension ref="B1:E18"/>
  <sheetViews>
    <sheetView showGridLines="0" zoomScale="220" zoomScaleNormal="220" workbookViewId="0">
      <pane ySplit="3" topLeftCell="A4" activePane="bottomLeft" state="frozenSplit"/>
      <selection pane="bottomLeft" activeCell="B9" sqref="B9:C9"/>
    </sheetView>
  </sheetViews>
  <sheetFormatPr defaultRowHeight="12.75" x14ac:dyDescent="0.2"/>
  <cols>
    <col min="1" max="1" width="5.140625" style="75" customWidth="1"/>
    <col min="2" max="2" width="1.7109375" style="75" customWidth="1"/>
    <col min="3" max="3" width="25.7109375" style="75" customWidth="1"/>
    <col min="4" max="4" width="27.42578125" style="75" customWidth="1"/>
    <col min="5" max="5" width="5.7109375" style="75" customWidth="1"/>
    <col min="6" max="6" width="40.85546875" style="75" customWidth="1"/>
    <col min="7" max="256" width="9.140625" style="75"/>
    <col min="257" max="257" width="5.140625" style="75" customWidth="1"/>
    <col min="258" max="258" width="1.7109375" style="75" customWidth="1"/>
    <col min="259" max="259" width="25.7109375" style="75" customWidth="1"/>
    <col min="260" max="260" width="27.42578125" style="75" customWidth="1"/>
    <col min="261" max="261" width="5.7109375" style="75" customWidth="1"/>
    <col min="262" max="262" width="40.85546875" style="75" customWidth="1"/>
    <col min="263" max="512" width="9.140625" style="75"/>
    <col min="513" max="513" width="5.140625" style="75" customWidth="1"/>
    <col min="514" max="514" width="1.7109375" style="75" customWidth="1"/>
    <col min="515" max="515" width="25.7109375" style="75" customWidth="1"/>
    <col min="516" max="516" width="27.42578125" style="75" customWidth="1"/>
    <col min="517" max="517" width="5.7109375" style="75" customWidth="1"/>
    <col min="518" max="518" width="40.85546875" style="75" customWidth="1"/>
    <col min="519" max="768" width="9.140625" style="75"/>
    <col min="769" max="769" width="5.140625" style="75" customWidth="1"/>
    <col min="770" max="770" width="1.7109375" style="75" customWidth="1"/>
    <col min="771" max="771" width="25.7109375" style="75" customWidth="1"/>
    <col min="772" max="772" width="27.42578125" style="75" customWidth="1"/>
    <col min="773" max="773" width="5.7109375" style="75" customWidth="1"/>
    <col min="774" max="774" width="40.85546875" style="75" customWidth="1"/>
    <col min="775" max="1024" width="9.140625" style="75"/>
    <col min="1025" max="1025" width="5.140625" style="75" customWidth="1"/>
    <col min="1026" max="1026" width="1.7109375" style="75" customWidth="1"/>
    <col min="1027" max="1027" width="25.7109375" style="75" customWidth="1"/>
    <col min="1028" max="1028" width="27.42578125" style="75" customWidth="1"/>
    <col min="1029" max="1029" width="5.7109375" style="75" customWidth="1"/>
    <col min="1030" max="1030" width="40.85546875" style="75" customWidth="1"/>
    <col min="1031" max="1280" width="9.140625" style="75"/>
    <col min="1281" max="1281" width="5.140625" style="75" customWidth="1"/>
    <col min="1282" max="1282" width="1.7109375" style="75" customWidth="1"/>
    <col min="1283" max="1283" width="25.7109375" style="75" customWidth="1"/>
    <col min="1284" max="1284" width="27.42578125" style="75" customWidth="1"/>
    <col min="1285" max="1285" width="5.7109375" style="75" customWidth="1"/>
    <col min="1286" max="1286" width="40.85546875" style="75" customWidth="1"/>
    <col min="1287" max="1536" width="9.140625" style="75"/>
    <col min="1537" max="1537" width="5.140625" style="75" customWidth="1"/>
    <col min="1538" max="1538" width="1.7109375" style="75" customWidth="1"/>
    <col min="1539" max="1539" width="25.7109375" style="75" customWidth="1"/>
    <col min="1540" max="1540" width="27.42578125" style="75" customWidth="1"/>
    <col min="1541" max="1541" width="5.7109375" style="75" customWidth="1"/>
    <col min="1542" max="1542" width="40.85546875" style="75" customWidth="1"/>
    <col min="1543" max="1792" width="9.140625" style="75"/>
    <col min="1793" max="1793" width="5.140625" style="75" customWidth="1"/>
    <col min="1794" max="1794" width="1.7109375" style="75" customWidth="1"/>
    <col min="1795" max="1795" width="25.7109375" style="75" customWidth="1"/>
    <col min="1796" max="1796" width="27.42578125" style="75" customWidth="1"/>
    <col min="1797" max="1797" width="5.7109375" style="75" customWidth="1"/>
    <col min="1798" max="1798" width="40.85546875" style="75" customWidth="1"/>
    <col min="1799" max="2048" width="9.140625" style="75"/>
    <col min="2049" max="2049" width="5.140625" style="75" customWidth="1"/>
    <col min="2050" max="2050" width="1.7109375" style="75" customWidth="1"/>
    <col min="2051" max="2051" width="25.7109375" style="75" customWidth="1"/>
    <col min="2052" max="2052" width="27.42578125" style="75" customWidth="1"/>
    <col min="2053" max="2053" width="5.7109375" style="75" customWidth="1"/>
    <col min="2054" max="2054" width="40.85546875" style="75" customWidth="1"/>
    <col min="2055" max="2304" width="9.140625" style="75"/>
    <col min="2305" max="2305" width="5.140625" style="75" customWidth="1"/>
    <col min="2306" max="2306" width="1.7109375" style="75" customWidth="1"/>
    <col min="2307" max="2307" width="25.7109375" style="75" customWidth="1"/>
    <col min="2308" max="2308" width="27.42578125" style="75" customWidth="1"/>
    <col min="2309" max="2309" width="5.7109375" style="75" customWidth="1"/>
    <col min="2310" max="2310" width="40.85546875" style="75" customWidth="1"/>
    <col min="2311" max="2560" width="9.140625" style="75"/>
    <col min="2561" max="2561" width="5.140625" style="75" customWidth="1"/>
    <col min="2562" max="2562" width="1.7109375" style="75" customWidth="1"/>
    <col min="2563" max="2563" width="25.7109375" style="75" customWidth="1"/>
    <col min="2564" max="2564" width="27.42578125" style="75" customWidth="1"/>
    <col min="2565" max="2565" width="5.7109375" style="75" customWidth="1"/>
    <col min="2566" max="2566" width="40.85546875" style="75" customWidth="1"/>
    <col min="2567" max="2816" width="9.140625" style="75"/>
    <col min="2817" max="2817" width="5.140625" style="75" customWidth="1"/>
    <col min="2818" max="2818" width="1.7109375" style="75" customWidth="1"/>
    <col min="2819" max="2819" width="25.7109375" style="75" customWidth="1"/>
    <col min="2820" max="2820" width="27.42578125" style="75" customWidth="1"/>
    <col min="2821" max="2821" width="5.7109375" style="75" customWidth="1"/>
    <col min="2822" max="2822" width="40.85546875" style="75" customWidth="1"/>
    <col min="2823" max="3072" width="9.140625" style="75"/>
    <col min="3073" max="3073" width="5.140625" style="75" customWidth="1"/>
    <col min="3074" max="3074" width="1.7109375" style="75" customWidth="1"/>
    <col min="3075" max="3075" width="25.7109375" style="75" customWidth="1"/>
    <col min="3076" max="3076" width="27.42578125" style="75" customWidth="1"/>
    <col min="3077" max="3077" width="5.7109375" style="75" customWidth="1"/>
    <col min="3078" max="3078" width="40.85546875" style="75" customWidth="1"/>
    <col min="3079" max="3328" width="9.140625" style="75"/>
    <col min="3329" max="3329" width="5.140625" style="75" customWidth="1"/>
    <col min="3330" max="3330" width="1.7109375" style="75" customWidth="1"/>
    <col min="3331" max="3331" width="25.7109375" style="75" customWidth="1"/>
    <col min="3332" max="3332" width="27.42578125" style="75" customWidth="1"/>
    <col min="3333" max="3333" width="5.7109375" style="75" customWidth="1"/>
    <col min="3334" max="3334" width="40.85546875" style="75" customWidth="1"/>
    <col min="3335" max="3584" width="9.140625" style="75"/>
    <col min="3585" max="3585" width="5.140625" style="75" customWidth="1"/>
    <col min="3586" max="3586" width="1.7109375" style="75" customWidth="1"/>
    <col min="3587" max="3587" width="25.7109375" style="75" customWidth="1"/>
    <col min="3588" max="3588" width="27.42578125" style="75" customWidth="1"/>
    <col min="3589" max="3589" width="5.7109375" style="75" customWidth="1"/>
    <col min="3590" max="3590" width="40.85546875" style="75" customWidth="1"/>
    <col min="3591" max="3840" width="9.140625" style="75"/>
    <col min="3841" max="3841" width="5.140625" style="75" customWidth="1"/>
    <col min="3842" max="3842" width="1.7109375" style="75" customWidth="1"/>
    <col min="3843" max="3843" width="25.7109375" style="75" customWidth="1"/>
    <col min="3844" max="3844" width="27.42578125" style="75" customWidth="1"/>
    <col min="3845" max="3845" width="5.7109375" style="75" customWidth="1"/>
    <col min="3846" max="3846" width="40.85546875" style="75" customWidth="1"/>
    <col min="3847" max="4096" width="9.140625" style="75"/>
    <col min="4097" max="4097" width="5.140625" style="75" customWidth="1"/>
    <col min="4098" max="4098" width="1.7109375" style="75" customWidth="1"/>
    <col min="4099" max="4099" width="25.7109375" style="75" customWidth="1"/>
    <col min="4100" max="4100" width="27.42578125" style="75" customWidth="1"/>
    <col min="4101" max="4101" width="5.7109375" style="75" customWidth="1"/>
    <col min="4102" max="4102" width="40.85546875" style="75" customWidth="1"/>
    <col min="4103" max="4352" width="9.140625" style="75"/>
    <col min="4353" max="4353" width="5.140625" style="75" customWidth="1"/>
    <col min="4354" max="4354" width="1.7109375" style="75" customWidth="1"/>
    <col min="4355" max="4355" width="25.7109375" style="75" customWidth="1"/>
    <col min="4356" max="4356" width="27.42578125" style="75" customWidth="1"/>
    <col min="4357" max="4357" width="5.7109375" style="75" customWidth="1"/>
    <col min="4358" max="4358" width="40.85546875" style="75" customWidth="1"/>
    <col min="4359" max="4608" width="9.140625" style="75"/>
    <col min="4609" max="4609" width="5.140625" style="75" customWidth="1"/>
    <col min="4610" max="4610" width="1.7109375" style="75" customWidth="1"/>
    <col min="4611" max="4611" width="25.7109375" style="75" customWidth="1"/>
    <col min="4612" max="4612" width="27.42578125" style="75" customWidth="1"/>
    <col min="4613" max="4613" width="5.7109375" style="75" customWidth="1"/>
    <col min="4614" max="4614" width="40.85546875" style="75" customWidth="1"/>
    <col min="4615" max="4864" width="9.140625" style="75"/>
    <col min="4865" max="4865" width="5.140625" style="75" customWidth="1"/>
    <col min="4866" max="4866" width="1.7109375" style="75" customWidth="1"/>
    <col min="4867" max="4867" width="25.7109375" style="75" customWidth="1"/>
    <col min="4868" max="4868" width="27.42578125" style="75" customWidth="1"/>
    <col min="4869" max="4869" width="5.7109375" style="75" customWidth="1"/>
    <col min="4870" max="4870" width="40.85546875" style="75" customWidth="1"/>
    <col min="4871" max="5120" width="9.140625" style="75"/>
    <col min="5121" max="5121" width="5.140625" style="75" customWidth="1"/>
    <col min="5122" max="5122" width="1.7109375" style="75" customWidth="1"/>
    <col min="5123" max="5123" width="25.7109375" style="75" customWidth="1"/>
    <col min="5124" max="5124" width="27.42578125" style="75" customWidth="1"/>
    <col min="5125" max="5125" width="5.7109375" style="75" customWidth="1"/>
    <col min="5126" max="5126" width="40.85546875" style="75" customWidth="1"/>
    <col min="5127" max="5376" width="9.140625" style="75"/>
    <col min="5377" max="5377" width="5.140625" style="75" customWidth="1"/>
    <col min="5378" max="5378" width="1.7109375" style="75" customWidth="1"/>
    <col min="5379" max="5379" width="25.7109375" style="75" customWidth="1"/>
    <col min="5380" max="5380" width="27.42578125" style="75" customWidth="1"/>
    <col min="5381" max="5381" width="5.7109375" style="75" customWidth="1"/>
    <col min="5382" max="5382" width="40.85546875" style="75" customWidth="1"/>
    <col min="5383" max="5632" width="9.140625" style="75"/>
    <col min="5633" max="5633" width="5.140625" style="75" customWidth="1"/>
    <col min="5634" max="5634" width="1.7109375" style="75" customWidth="1"/>
    <col min="5635" max="5635" width="25.7109375" style="75" customWidth="1"/>
    <col min="5636" max="5636" width="27.42578125" style="75" customWidth="1"/>
    <col min="5637" max="5637" width="5.7109375" style="75" customWidth="1"/>
    <col min="5638" max="5638" width="40.85546875" style="75" customWidth="1"/>
    <col min="5639" max="5888" width="9.140625" style="75"/>
    <col min="5889" max="5889" width="5.140625" style="75" customWidth="1"/>
    <col min="5890" max="5890" width="1.7109375" style="75" customWidth="1"/>
    <col min="5891" max="5891" width="25.7109375" style="75" customWidth="1"/>
    <col min="5892" max="5892" width="27.42578125" style="75" customWidth="1"/>
    <col min="5893" max="5893" width="5.7109375" style="75" customWidth="1"/>
    <col min="5894" max="5894" width="40.85546875" style="75" customWidth="1"/>
    <col min="5895" max="6144" width="9.140625" style="75"/>
    <col min="6145" max="6145" width="5.140625" style="75" customWidth="1"/>
    <col min="6146" max="6146" width="1.7109375" style="75" customWidth="1"/>
    <col min="6147" max="6147" width="25.7109375" style="75" customWidth="1"/>
    <col min="6148" max="6148" width="27.42578125" style="75" customWidth="1"/>
    <col min="6149" max="6149" width="5.7109375" style="75" customWidth="1"/>
    <col min="6150" max="6150" width="40.85546875" style="75" customWidth="1"/>
    <col min="6151" max="6400" width="9.140625" style="75"/>
    <col min="6401" max="6401" width="5.140625" style="75" customWidth="1"/>
    <col min="6402" max="6402" width="1.7109375" style="75" customWidth="1"/>
    <col min="6403" max="6403" width="25.7109375" style="75" customWidth="1"/>
    <col min="6404" max="6404" width="27.42578125" style="75" customWidth="1"/>
    <col min="6405" max="6405" width="5.7109375" style="75" customWidth="1"/>
    <col min="6406" max="6406" width="40.85546875" style="75" customWidth="1"/>
    <col min="6407" max="6656" width="9.140625" style="75"/>
    <col min="6657" max="6657" width="5.140625" style="75" customWidth="1"/>
    <col min="6658" max="6658" width="1.7109375" style="75" customWidth="1"/>
    <col min="6659" max="6659" width="25.7109375" style="75" customWidth="1"/>
    <col min="6660" max="6660" width="27.42578125" style="75" customWidth="1"/>
    <col min="6661" max="6661" width="5.7109375" style="75" customWidth="1"/>
    <col min="6662" max="6662" width="40.85546875" style="75" customWidth="1"/>
    <col min="6663" max="6912" width="9.140625" style="75"/>
    <col min="6913" max="6913" width="5.140625" style="75" customWidth="1"/>
    <col min="6914" max="6914" width="1.7109375" style="75" customWidth="1"/>
    <col min="6915" max="6915" width="25.7109375" style="75" customWidth="1"/>
    <col min="6916" max="6916" width="27.42578125" style="75" customWidth="1"/>
    <col min="6917" max="6917" width="5.7109375" style="75" customWidth="1"/>
    <col min="6918" max="6918" width="40.85546875" style="75" customWidth="1"/>
    <col min="6919" max="7168" width="9.140625" style="75"/>
    <col min="7169" max="7169" width="5.140625" style="75" customWidth="1"/>
    <col min="7170" max="7170" width="1.7109375" style="75" customWidth="1"/>
    <col min="7171" max="7171" width="25.7109375" style="75" customWidth="1"/>
    <col min="7172" max="7172" width="27.42578125" style="75" customWidth="1"/>
    <col min="7173" max="7173" width="5.7109375" style="75" customWidth="1"/>
    <col min="7174" max="7174" width="40.85546875" style="75" customWidth="1"/>
    <col min="7175" max="7424" width="9.140625" style="75"/>
    <col min="7425" max="7425" width="5.140625" style="75" customWidth="1"/>
    <col min="7426" max="7426" width="1.7109375" style="75" customWidth="1"/>
    <col min="7427" max="7427" width="25.7109375" style="75" customWidth="1"/>
    <col min="7428" max="7428" width="27.42578125" style="75" customWidth="1"/>
    <col min="7429" max="7429" width="5.7109375" style="75" customWidth="1"/>
    <col min="7430" max="7430" width="40.85546875" style="75" customWidth="1"/>
    <col min="7431" max="7680" width="9.140625" style="75"/>
    <col min="7681" max="7681" width="5.140625" style="75" customWidth="1"/>
    <col min="7682" max="7682" width="1.7109375" style="75" customWidth="1"/>
    <col min="7683" max="7683" width="25.7109375" style="75" customWidth="1"/>
    <col min="7684" max="7684" width="27.42578125" style="75" customWidth="1"/>
    <col min="7685" max="7685" width="5.7109375" style="75" customWidth="1"/>
    <col min="7686" max="7686" width="40.85546875" style="75" customWidth="1"/>
    <col min="7687" max="7936" width="9.140625" style="75"/>
    <col min="7937" max="7937" width="5.140625" style="75" customWidth="1"/>
    <col min="7938" max="7938" width="1.7109375" style="75" customWidth="1"/>
    <col min="7939" max="7939" width="25.7109375" style="75" customWidth="1"/>
    <col min="7940" max="7940" width="27.42578125" style="75" customWidth="1"/>
    <col min="7941" max="7941" width="5.7109375" style="75" customWidth="1"/>
    <col min="7942" max="7942" width="40.85546875" style="75" customWidth="1"/>
    <col min="7943" max="8192" width="9.140625" style="75"/>
    <col min="8193" max="8193" width="5.140625" style="75" customWidth="1"/>
    <col min="8194" max="8194" width="1.7109375" style="75" customWidth="1"/>
    <col min="8195" max="8195" width="25.7109375" style="75" customWidth="1"/>
    <col min="8196" max="8196" width="27.42578125" style="75" customWidth="1"/>
    <col min="8197" max="8197" width="5.7109375" style="75" customWidth="1"/>
    <col min="8198" max="8198" width="40.85546875" style="75" customWidth="1"/>
    <col min="8199" max="8448" width="9.140625" style="75"/>
    <col min="8449" max="8449" width="5.140625" style="75" customWidth="1"/>
    <col min="8450" max="8450" width="1.7109375" style="75" customWidth="1"/>
    <col min="8451" max="8451" width="25.7109375" style="75" customWidth="1"/>
    <col min="8452" max="8452" width="27.42578125" style="75" customWidth="1"/>
    <col min="8453" max="8453" width="5.7109375" style="75" customWidth="1"/>
    <col min="8454" max="8454" width="40.85546875" style="75" customWidth="1"/>
    <col min="8455" max="8704" width="9.140625" style="75"/>
    <col min="8705" max="8705" width="5.140625" style="75" customWidth="1"/>
    <col min="8706" max="8706" width="1.7109375" style="75" customWidth="1"/>
    <col min="8707" max="8707" width="25.7109375" style="75" customWidth="1"/>
    <col min="8708" max="8708" width="27.42578125" style="75" customWidth="1"/>
    <col min="8709" max="8709" width="5.7109375" style="75" customWidth="1"/>
    <col min="8710" max="8710" width="40.85546875" style="75" customWidth="1"/>
    <col min="8711" max="8960" width="9.140625" style="75"/>
    <col min="8961" max="8961" width="5.140625" style="75" customWidth="1"/>
    <col min="8962" max="8962" width="1.7109375" style="75" customWidth="1"/>
    <col min="8963" max="8963" width="25.7109375" style="75" customWidth="1"/>
    <col min="8964" max="8964" width="27.42578125" style="75" customWidth="1"/>
    <col min="8965" max="8965" width="5.7109375" style="75" customWidth="1"/>
    <col min="8966" max="8966" width="40.85546875" style="75" customWidth="1"/>
    <col min="8967" max="9216" width="9.140625" style="75"/>
    <col min="9217" max="9217" width="5.140625" style="75" customWidth="1"/>
    <col min="9218" max="9218" width="1.7109375" style="75" customWidth="1"/>
    <col min="9219" max="9219" width="25.7109375" style="75" customWidth="1"/>
    <col min="9220" max="9220" width="27.42578125" style="75" customWidth="1"/>
    <col min="9221" max="9221" width="5.7109375" style="75" customWidth="1"/>
    <col min="9222" max="9222" width="40.85546875" style="75" customWidth="1"/>
    <col min="9223" max="9472" width="9.140625" style="75"/>
    <col min="9473" max="9473" width="5.140625" style="75" customWidth="1"/>
    <col min="9474" max="9474" width="1.7109375" style="75" customWidth="1"/>
    <col min="9475" max="9475" width="25.7109375" style="75" customWidth="1"/>
    <col min="9476" max="9476" width="27.42578125" style="75" customWidth="1"/>
    <col min="9477" max="9477" width="5.7109375" style="75" customWidth="1"/>
    <col min="9478" max="9478" width="40.85546875" style="75" customWidth="1"/>
    <col min="9479" max="9728" width="9.140625" style="75"/>
    <col min="9729" max="9729" width="5.140625" style="75" customWidth="1"/>
    <col min="9730" max="9730" width="1.7109375" style="75" customWidth="1"/>
    <col min="9731" max="9731" width="25.7109375" style="75" customWidth="1"/>
    <col min="9732" max="9732" width="27.42578125" style="75" customWidth="1"/>
    <col min="9733" max="9733" width="5.7109375" style="75" customWidth="1"/>
    <col min="9734" max="9734" width="40.85546875" style="75" customWidth="1"/>
    <col min="9735" max="9984" width="9.140625" style="75"/>
    <col min="9985" max="9985" width="5.140625" style="75" customWidth="1"/>
    <col min="9986" max="9986" width="1.7109375" style="75" customWidth="1"/>
    <col min="9987" max="9987" width="25.7109375" style="75" customWidth="1"/>
    <col min="9988" max="9988" width="27.42578125" style="75" customWidth="1"/>
    <col min="9989" max="9989" width="5.7109375" style="75" customWidth="1"/>
    <col min="9990" max="9990" width="40.85546875" style="75" customWidth="1"/>
    <col min="9991" max="10240" width="9.140625" style="75"/>
    <col min="10241" max="10241" width="5.140625" style="75" customWidth="1"/>
    <col min="10242" max="10242" width="1.7109375" style="75" customWidth="1"/>
    <col min="10243" max="10243" width="25.7109375" style="75" customWidth="1"/>
    <col min="10244" max="10244" width="27.42578125" style="75" customWidth="1"/>
    <col min="10245" max="10245" width="5.7109375" style="75" customWidth="1"/>
    <col min="10246" max="10246" width="40.85546875" style="75" customWidth="1"/>
    <col min="10247" max="10496" width="9.140625" style="75"/>
    <col min="10497" max="10497" width="5.140625" style="75" customWidth="1"/>
    <col min="10498" max="10498" width="1.7109375" style="75" customWidth="1"/>
    <col min="10499" max="10499" width="25.7109375" style="75" customWidth="1"/>
    <col min="10500" max="10500" width="27.42578125" style="75" customWidth="1"/>
    <col min="10501" max="10501" width="5.7109375" style="75" customWidth="1"/>
    <col min="10502" max="10502" width="40.85546875" style="75" customWidth="1"/>
    <col min="10503" max="10752" width="9.140625" style="75"/>
    <col min="10753" max="10753" width="5.140625" style="75" customWidth="1"/>
    <col min="10754" max="10754" width="1.7109375" style="75" customWidth="1"/>
    <col min="10755" max="10755" width="25.7109375" style="75" customWidth="1"/>
    <col min="10756" max="10756" width="27.42578125" style="75" customWidth="1"/>
    <col min="10757" max="10757" width="5.7109375" style="75" customWidth="1"/>
    <col min="10758" max="10758" width="40.85546875" style="75" customWidth="1"/>
    <col min="10759" max="11008" width="9.140625" style="75"/>
    <col min="11009" max="11009" width="5.140625" style="75" customWidth="1"/>
    <col min="11010" max="11010" width="1.7109375" style="75" customWidth="1"/>
    <col min="11011" max="11011" width="25.7109375" style="75" customWidth="1"/>
    <col min="11012" max="11012" width="27.42578125" style="75" customWidth="1"/>
    <col min="11013" max="11013" width="5.7109375" style="75" customWidth="1"/>
    <col min="11014" max="11014" width="40.85546875" style="75" customWidth="1"/>
    <col min="11015" max="11264" width="9.140625" style="75"/>
    <col min="11265" max="11265" width="5.140625" style="75" customWidth="1"/>
    <col min="11266" max="11266" width="1.7109375" style="75" customWidth="1"/>
    <col min="11267" max="11267" width="25.7109375" style="75" customWidth="1"/>
    <col min="11268" max="11268" width="27.42578125" style="75" customWidth="1"/>
    <col min="11269" max="11269" width="5.7109375" style="75" customWidth="1"/>
    <col min="11270" max="11270" width="40.85546875" style="75" customWidth="1"/>
    <col min="11271" max="11520" width="9.140625" style="75"/>
    <col min="11521" max="11521" width="5.140625" style="75" customWidth="1"/>
    <col min="11522" max="11522" width="1.7109375" style="75" customWidth="1"/>
    <col min="11523" max="11523" width="25.7109375" style="75" customWidth="1"/>
    <col min="11524" max="11524" width="27.42578125" style="75" customWidth="1"/>
    <col min="11525" max="11525" width="5.7109375" style="75" customWidth="1"/>
    <col min="11526" max="11526" width="40.85546875" style="75" customWidth="1"/>
    <col min="11527" max="11776" width="9.140625" style="75"/>
    <col min="11777" max="11777" width="5.140625" style="75" customWidth="1"/>
    <col min="11778" max="11778" width="1.7109375" style="75" customWidth="1"/>
    <col min="11779" max="11779" width="25.7109375" style="75" customWidth="1"/>
    <col min="11780" max="11780" width="27.42578125" style="75" customWidth="1"/>
    <col min="11781" max="11781" width="5.7109375" style="75" customWidth="1"/>
    <col min="11782" max="11782" width="40.85546875" style="75" customWidth="1"/>
    <col min="11783" max="12032" width="9.140625" style="75"/>
    <col min="12033" max="12033" width="5.140625" style="75" customWidth="1"/>
    <col min="12034" max="12034" width="1.7109375" style="75" customWidth="1"/>
    <col min="12035" max="12035" width="25.7109375" style="75" customWidth="1"/>
    <col min="12036" max="12036" width="27.42578125" style="75" customWidth="1"/>
    <col min="12037" max="12037" width="5.7109375" style="75" customWidth="1"/>
    <col min="12038" max="12038" width="40.85546875" style="75" customWidth="1"/>
    <col min="12039" max="12288" width="9.140625" style="75"/>
    <col min="12289" max="12289" width="5.140625" style="75" customWidth="1"/>
    <col min="12290" max="12290" width="1.7109375" style="75" customWidth="1"/>
    <col min="12291" max="12291" width="25.7109375" style="75" customWidth="1"/>
    <col min="12292" max="12292" width="27.42578125" style="75" customWidth="1"/>
    <col min="12293" max="12293" width="5.7109375" style="75" customWidth="1"/>
    <col min="12294" max="12294" width="40.85546875" style="75" customWidth="1"/>
    <col min="12295" max="12544" width="9.140625" style="75"/>
    <col min="12545" max="12545" width="5.140625" style="75" customWidth="1"/>
    <col min="12546" max="12546" width="1.7109375" style="75" customWidth="1"/>
    <col min="12547" max="12547" width="25.7109375" style="75" customWidth="1"/>
    <col min="12548" max="12548" width="27.42578125" style="75" customWidth="1"/>
    <col min="12549" max="12549" width="5.7109375" style="75" customWidth="1"/>
    <col min="12550" max="12550" width="40.85546875" style="75" customWidth="1"/>
    <col min="12551" max="12800" width="9.140625" style="75"/>
    <col min="12801" max="12801" width="5.140625" style="75" customWidth="1"/>
    <col min="12802" max="12802" width="1.7109375" style="75" customWidth="1"/>
    <col min="12803" max="12803" width="25.7109375" style="75" customWidth="1"/>
    <col min="12804" max="12804" width="27.42578125" style="75" customWidth="1"/>
    <col min="12805" max="12805" width="5.7109375" style="75" customWidth="1"/>
    <col min="12806" max="12806" width="40.85546875" style="75" customWidth="1"/>
    <col min="12807" max="13056" width="9.140625" style="75"/>
    <col min="13057" max="13057" width="5.140625" style="75" customWidth="1"/>
    <col min="13058" max="13058" width="1.7109375" style="75" customWidth="1"/>
    <col min="13059" max="13059" width="25.7109375" style="75" customWidth="1"/>
    <col min="13060" max="13060" width="27.42578125" style="75" customWidth="1"/>
    <col min="13061" max="13061" width="5.7109375" style="75" customWidth="1"/>
    <col min="13062" max="13062" width="40.85546875" style="75" customWidth="1"/>
    <col min="13063" max="13312" width="9.140625" style="75"/>
    <col min="13313" max="13313" width="5.140625" style="75" customWidth="1"/>
    <col min="13314" max="13314" width="1.7109375" style="75" customWidth="1"/>
    <col min="13315" max="13315" width="25.7109375" style="75" customWidth="1"/>
    <col min="13316" max="13316" width="27.42578125" style="75" customWidth="1"/>
    <col min="13317" max="13317" width="5.7109375" style="75" customWidth="1"/>
    <col min="13318" max="13318" width="40.85546875" style="75" customWidth="1"/>
    <col min="13319" max="13568" width="9.140625" style="75"/>
    <col min="13569" max="13569" width="5.140625" style="75" customWidth="1"/>
    <col min="13570" max="13570" width="1.7109375" style="75" customWidth="1"/>
    <col min="13571" max="13571" width="25.7109375" style="75" customWidth="1"/>
    <col min="13572" max="13572" width="27.42578125" style="75" customWidth="1"/>
    <col min="13573" max="13573" width="5.7109375" style="75" customWidth="1"/>
    <col min="13574" max="13574" width="40.85546875" style="75" customWidth="1"/>
    <col min="13575" max="13824" width="9.140625" style="75"/>
    <col min="13825" max="13825" width="5.140625" style="75" customWidth="1"/>
    <col min="13826" max="13826" width="1.7109375" style="75" customWidth="1"/>
    <col min="13827" max="13827" width="25.7109375" style="75" customWidth="1"/>
    <col min="13828" max="13828" width="27.42578125" style="75" customWidth="1"/>
    <col min="13829" max="13829" width="5.7109375" style="75" customWidth="1"/>
    <col min="13830" max="13830" width="40.85546875" style="75" customWidth="1"/>
    <col min="13831" max="14080" width="9.140625" style="75"/>
    <col min="14081" max="14081" width="5.140625" style="75" customWidth="1"/>
    <col min="14082" max="14082" width="1.7109375" style="75" customWidth="1"/>
    <col min="14083" max="14083" width="25.7109375" style="75" customWidth="1"/>
    <col min="14084" max="14084" width="27.42578125" style="75" customWidth="1"/>
    <col min="14085" max="14085" width="5.7109375" style="75" customWidth="1"/>
    <col min="14086" max="14086" width="40.85546875" style="75" customWidth="1"/>
    <col min="14087" max="14336" width="9.140625" style="75"/>
    <col min="14337" max="14337" width="5.140625" style="75" customWidth="1"/>
    <col min="14338" max="14338" width="1.7109375" style="75" customWidth="1"/>
    <col min="14339" max="14339" width="25.7109375" style="75" customWidth="1"/>
    <col min="14340" max="14340" width="27.42578125" style="75" customWidth="1"/>
    <col min="14341" max="14341" width="5.7109375" style="75" customWidth="1"/>
    <col min="14342" max="14342" width="40.85546875" style="75" customWidth="1"/>
    <col min="14343" max="14592" width="9.140625" style="75"/>
    <col min="14593" max="14593" width="5.140625" style="75" customWidth="1"/>
    <col min="14594" max="14594" width="1.7109375" style="75" customWidth="1"/>
    <col min="14595" max="14595" width="25.7109375" style="75" customWidth="1"/>
    <col min="14596" max="14596" width="27.42578125" style="75" customWidth="1"/>
    <col min="14597" max="14597" width="5.7109375" style="75" customWidth="1"/>
    <col min="14598" max="14598" width="40.85546875" style="75" customWidth="1"/>
    <col min="14599" max="14848" width="9.140625" style="75"/>
    <col min="14849" max="14849" width="5.140625" style="75" customWidth="1"/>
    <col min="14850" max="14850" width="1.7109375" style="75" customWidth="1"/>
    <col min="14851" max="14851" width="25.7109375" style="75" customWidth="1"/>
    <col min="14852" max="14852" width="27.42578125" style="75" customWidth="1"/>
    <col min="14853" max="14853" width="5.7109375" style="75" customWidth="1"/>
    <col min="14854" max="14854" width="40.85546875" style="75" customWidth="1"/>
    <col min="14855" max="15104" width="9.140625" style="75"/>
    <col min="15105" max="15105" width="5.140625" style="75" customWidth="1"/>
    <col min="15106" max="15106" width="1.7109375" style="75" customWidth="1"/>
    <col min="15107" max="15107" width="25.7109375" style="75" customWidth="1"/>
    <col min="15108" max="15108" width="27.42578125" style="75" customWidth="1"/>
    <col min="15109" max="15109" width="5.7109375" style="75" customWidth="1"/>
    <col min="15110" max="15110" width="40.85546875" style="75" customWidth="1"/>
    <col min="15111" max="15360" width="9.140625" style="75"/>
    <col min="15361" max="15361" width="5.140625" style="75" customWidth="1"/>
    <col min="15362" max="15362" width="1.7109375" style="75" customWidth="1"/>
    <col min="15363" max="15363" width="25.7109375" style="75" customWidth="1"/>
    <col min="15364" max="15364" width="27.42578125" style="75" customWidth="1"/>
    <col min="15365" max="15365" width="5.7109375" style="75" customWidth="1"/>
    <col min="15366" max="15366" width="40.85546875" style="75" customWidth="1"/>
    <col min="15367" max="15616" width="9.140625" style="75"/>
    <col min="15617" max="15617" width="5.140625" style="75" customWidth="1"/>
    <col min="15618" max="15618" width="1.7109375" style="75" customWidth="1"/>
    <col min="15619" max="15619" width="25.7109375" style="75" customWidth="1"/>
    <col min="15620" max="15620" width="27.42578125" style="75" customWidth="1"/>
    <col min="15621" max="15621" width="5.7109375" style="75" customWidth="1"/>
    <col min="15622" max="15622" width="40.85546875" style="75" customWidth="1"/>
    <col min="15623" max="15872" width="9.140625" style="75"/>
    <col min="15873" max="15873" width="5.140625" style="75" customWidth="1"/>
    <col min="15874" max="15874" width="1.7109375" style="75" customWidth="1"/>
    <col min="15875" max="15875" width="25.7109375" style="75" customWidth="1"/>
    <col min="15876" max="15876" width="27.42578125" style="75" customWidth="1"/>
    <col min="15877" max="15877" width="5.7109375" style="75" customWidth="1"/>
    <col min="15878" max="15878" width="40.85546875" style="75" customWidth="1"/>
    <col min="15879" max="16128" width="9.140625" style="75"/>
    <col min="16129" max="16129" width="5.140625" style="75" customWidth="1"/>
    <col min="16130" max="16130" width="1.7109375" style="75" customWidth="1"/>
    <col min="16131" max="16131" width="25.7109375" style="75" customWidth="1"/>
    <col min="16132" max="16132" width="27.42578125" style="75" customWidth="1"/>
    <col min="16133" max="16133" width="5.7109375" style="75" customWidth="1"/>
    <col min="16134" max="16134" width="40.85546875" style="75" customWidth="1"/>
    <col min="16135" max="16384" width="9.140625" style="75"/>
  </cols>
  <sheetData>
    <row r="1" spans="2:5" ht="46.35" customHeight="1" x14ac:dyDescent="0.2"/>
    <row r="2" spans="2:5" ht="18" customHeight="1" x14ac:dyDescent="0.2">
      <c r="C2" s="125" t="s">
        <v>438</v>
      </c>
      <c r="D2" s="126"/>
      <c r="E2" s="126"/>
    </row>
    <row r="3" spans="2:5" ht="21.95" customHeight="1" x14ac:dyDescent="0.2"/>
    <row r="4" spans="2:5" x14ac:dyDescent="0.2">
      <c r="B4" s="127" t="s">
        <v>499</v>
      </c>
      <c r="C4" s="124"/>
      <c r="D4" s="87" t="s">
        <v>500</v>
      </c>
    </row>
    <row r="5" spans="2:5" x14ac:dyDescent="0.2">
      <c r="B5" s="123" t="s">
        <v>469</v>
      </c>
      <c r="C5" s="124"/>
      <c r="D5" s="92">
        <v>2786.1</v>
      </c>
    </row>
    <row r="6" spans="2:5" x14ac:dyDescent="0.2">
      <c r="B6" s="123" t="s">
        <v>475</v>
      </c>
      <c r="C6" s="124"/>
      <c r="D6" s="92">
        <v>1078.73</v>
      </c>
    </row>
    <row r="7" spans="2:5" x14ac:dyDescent="0.2">
      <c r="B7" s="123" t="s">
        <v>501</v>
      </c>
      <c r="C7" s="124"/>
      <c r="D7" s="92">
        <v>0.26</v>
      </c>
    </row>
    <row r="8" spans="2:5" x14ac:dyDescent="0.2">
      <c r="B8" s="123" t="s">
        <v>481</v>
      </c>
      <c r="C8" s="124"/>
      <c r="D8" s="92">
        <v>80.25</v>
      </c>
    </row>
    <row r="9" spans="2:5" x14ac:dyDescent="0.2">
      <c r="B9" s="123" t="s">
        <v>484</v>
      </c>
      <c r="C9" s="124"/>
      <c r="D9" s="92">
        <v>1886.44</v>
      </c>
    </row>
    <row r="10" spans="2:5" x14ac:dyDescent="0.2">
      <c r="B10" s="123" t="s">
        <v>502</v>
      </c>
      <c r="C10" s="124"/>
      <c r="D10" s="92">
        <v>0</v>
      </c>
    </row>
    <row r="11" spans="2:5" x14ac:dyDescent="0.2">
      <c r="B11" s="123" t="s">
        <v>490</v>
      </c>
      <c r="C11" s="124"/>
      <c r="D11" s="92">
        <v>606.61</v>
      </c>
    </row>
    <row r="12" spans="2:5" x14ac:dyDescent="0.2">
      <c r="B12" s="123" t="s">
        <v>492</v>
      </c>
      <c r="C12" s="124"/>
      <c r="D12" s="92">
        <v>31.29</v>
      </c>
    </row>
    <row r="13" spans="2:5" x14ac:dyDescent="0.2">
      <c r="B13" s="123" t="s">
        <v>513</v>
      </c>
      <c r="C13" s="124"/>
      <c r="D13" s="92">
        <v>170.15</v>
      </c>
    </row>
    <row r="14" spans="2:5" x14ac:dyDescent="0.2">
      <c r="B14" s="123" t="s">
        <v>515</v>
      </c>
      <c r="C14" s="124"/>
      <c r="D14" s="92">
        <v>0</v>
      </c>
    </row>
    <row r="15" spans="2:5" x14ac:dyDescent="0.2">
      <c r="B15" s="123" t="s">
        <v>516</v>
      </c>
      <c r="C15" s="124"/>
      <c r="D15" s="92">
        <v>0</v>
      </c>
    </row>
    <row r="16" spans="2:5" x14ac:dyDescent="0.2">
      <c r="B16" s="123" t="s">
        <v>517</v>
      </c>
      <c r="C16" s="124"/>
      <c r="D16" s="92">
        <v>0</v>
      </c>
    </row>
    <row r="17" spans="2:4" x14ac:dyDescent="0.2">
      <c r="B17" s="123"/>
      <c r="C17" s="124"/>
      <c r="D17" s="93">
        <v>6639.83</v>
      </c>
    </row>
    <row r="18" spans="2:4" ht="8.25" customHeight="1" x14ac:dyDescent="0.2"/>
  </sheetData>
  <mergeCells count="15">
    <mergeCell ref="B15:C15"/>
    <mergeCell ref="B16:C16"/>
    <mergeCell ref="B17:C17"/>
    <mergeCell ref="B9:C9"/>
    <mergeCell ref="B10:C10"/>
    <mergeCell ref="B11:C11"/>
    <mergeCell ref="B12:C12"/>
    <mergeCell ref="B13:C13"/>
    <mergeCell ref="B14:C14"/>
    <mergeCell ref="B8:C8"/>
    <mergeCell ref="C2:E2"/>
    <mergeCell ref="B4:C4"/>
    <mergeCell ref="B5:C5"/>
    <mergeCell ref="B6:C6"/>
    <mergeCell ref="B7:C7"/>
  </mergeCells>
  <pageMargins left="0" right="0" top="0" bottom="0" header="0" footer="0"/>
  <pageSetup paperSize="9" orientation="portrait" horizontalDpi="0" verticalDpi="0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3441-C8AA-4927-B398-2703F9B874F6}">
  <dimension ref="B1:K58"/>
  <sheetViews>
    <sheetView showGridLines="0" workbookViewId="0">
      <pane ySplit="3" topLeftCell="A24" activePane="bottomLeft" state="frozenSplit"/>
      <selection pane="bottomLeft" activeCell="E43" sqref="E43:F43"/>
    </sheetView>
  </sheetViews>
  <sheetFormatPr defaultRowHeight="12.75" x14ac:dyDescent="0.2"/>
  <cols>
    <col min="1" max="1" width="5.140625" style="75" customWidth="1"/>
    <col min="2" max="2" width="1.7109375" style="75" customWidth="1"/>
    <col min="3" max="3" width="12" style="75" customWidth="1"/>
    <col min="4" max="6" width="13.7109375" style="75" customWidth="1"/>
    <col min="7" max="7" width="5.7109375" style="75" customWidth="1"/>
    <col min="8" max="8" width="7.85546875" style="75" customWidth="1"/>
    <col min="9" max="10" width="13.7109375" style="75" customWidth="1"/>
    <col min="11" max="11" width="3.28515625" style="75" customWidth="1"/>
    <col min="12" max="12" width="2.140625" style="75" customWidth="1"/>
    <col min="13" max="256" width="9.140625" style="75"/>
    <col min="257" max="257" width="5.140625" style="75" customWidth="1"/>
    <col min="258" max="258" width="1.7109375" style="75" customWidth="1"/>
    <col min="259" max="259" width="12" style="75" customWidth="1"/>
    <col min="260" max="262" width="13.7109375" style="75" customWidth="1"/>
    <col min="263" max="263" width="5.7109375" style="75" customWidth="1"/>
    <col min="264" max="264" width="7.85546875" style="75" customWidth="1"/>
    <col min="265" max="266" width="13.7109375" style="75" customWidth="1"/>
    <col min="267" max="267" width="3.28515625" style="75" customWidth="1"/>
    <col min="268" max="268" width="2.140625" style="75" customWidth="1"/>
    <col min="269" max="512" width="9.140625" style="75"/>
    <col min="513" max="513" width="5.140625" style="75" customWidth="1"/>
    <col min="514" max="514" width="1.7109375" style="75" customWidth="1"/>
    <col min="515" max="515" width="12" style="75" customWidth="1"/>
    <col min="516" max="518" width="13.7109375" style="75" customWidth="1"/>
    <col min="519" max="519" width="5.7109375" style="75" customWidth="1"/>
    <col min="520" max="520" width="7.85546875" style="75" customWidth="1"/>
    <col min="521" max="522" width="13.7109375" style="75" customWidth="1"/>
    <col min="523" max="523" width="3.28515625" style="75" customWidth="1"/>
    <col min="524" max="524" width="2.140625" style="75" customWidth="1"/>
    <col min="525" max="768" width="9.140625" style="75"/>
    <col min="769" max="769" width="5.140625" style="75" customWidth="1"/>
    <col min="770" max="770" width="1.7109375" style="75" customWidth="1"/>
    <col min="771" max="771" width="12" style="75" customWidth="1"/>
    <col min="772" max="774" width="13.7109375" style="75" customWidth="1"/>
    <col min="775" max="775" width="5.7109375" style="75" customWidth="1"/>
    <col min="776" max="776" width="7.85546875" style="75" customWidth="1"/>
    <col min="777" max="778" width="13.7109375" style="75" customWidth="1"/>
    <col min="779" max="779" width="3.28515625" style="75" customWidth="1"/>
    <col min="780" max="780" width="2.140625" style="75" customWidth="1"/>
    <col min="781" max="1024" width="9.140625" style="75"/>
    <col min="1025" max="1025" width="5.140625" style="75" customWidth="1"/>
    <col min="1026" max="1026" width="1.7109375" style="75" customWidth="1"/>
    <col min="1027" max="1027" width="12" style="75" customWidth="1"/>
    <col min="1028" max="1030" width="13.7109375" style="75" customWidth="1"/>
    <col min="1031" max="1031" width="5.7109375" style="75" customWidth="1"/>
    <col min="1032" max="1032" width="7.85546875" style="75" customWidth="1"/>
    <col min="1033" max="1034" width="13.7109375" style="75" customWidth="1"/>
    <col min="1035" max="1035" width="3.28515625" style="75" customWidth="1"/>
    <col min="1036" max="1036" width="2.140625" style="75" customWidth="1"/>
    <col min="1037" max="1280" width="9.140625" style="75"/>
    <col min="1281" max="1281" width="5.140625" style="75" customWidth="1"/>
    <col min="1282" max="1282" width="1.7109375" style="75" customWidth="1"/>
    <col min="1283" max="1283" width="12" style="75" customWidth="1"/>
    <col min="1284" max="1286" width="13.7109375" style="75" customWidth="1"/>
    <col min="1287" max="1287" width="5.7109375" style="75" customWidth="1"/>
    <col min="1288" max="1288" width="7.85546875" style="75" customWidth="1"/>
    <col min="1289" max="1290" width="13.7109375" style="75" customWidth="1"/>
    <col min="1291" max="1291" width="3.28515625" style="75" customWidth="1"/>
    <col min="1292" max="1292" width="2.140625" style="75" customWidth="1"/>
    <col min="1293" max="1536" width="9.140625" style="75"/>
    <col min="1537" max="1537" width="5.140625" style="75" customWidth="1"/>
    <col min="1538" max="1538" width="1.7109375" style="75" customWidth="1"/>
    <col min="1539" max="1539" width="12" style="75" customWidth="1"/>
    <col min="1540" max="1542" width="13.7109375" style="75" customWidth="1"/>
    <col min="1543" max="1543" width="5.7109375" style="75" customWidth="1"/>
    <col min="1544" max="1544" width="7.85546875" style="75" customWidth="1"/>
    <col min="1545" max="1546" width="13.7109375" style="75" customWidth="1"/>
    <col min="1547" max="1547" width="3.28515625" style="75" customWidth="1"/>
    <col min="1548" max="1548" width="2.140625" style="75" customWidth="1"/>
    <col min="1549" max="1792" width="9.140625" style="75"/>
    <col min="1793" max="1793" width="5.140625" style="75" customWidth="1"/>
    <col min="1794" max="1794" width="1.7109375" style="75" customWidth="1"/>
    <col min="1795" max="1795" width="12" style="75" customWidth="1"/>
    <col min="1796" max="1798" width="13.7109375" style="75" customWidth="1"/>
    <col min="1799" max="1799" width="5.7109375" style="75" customWidth="1"/>
    <col min="1800" max="1800" width="7.85546875" style="75" customWidth="1"/>
    <col min="1801" max="1802" width="13.7109375" style="75" customWidth="1"/>
    <col min="1803" max="1803" width="3.28515625" style="75" customWidth="1"/>
    <col min="1804" max="1804" width="2.140625" style="75" customWidth="1"/>
    <col min="1805" max="2048" width="9.140625" style="75"/>
    <col min="2049" max="2049" width="5.140625" style="75" customWidth="1"/>
    <col min="2050" max="2050" width="1.7109375" style="75" customWidth="1"/>
    <col min="2051" max="2051" width="12" style="75" customWidth="1"/>
    <col min="2052" max="2054" width="13.7109375" style="75" customWidth="1"/>
    <col min="2055" max="2055" width="5.7109375" style="75" customWidth="1"/>
    <col min="2056" max="2056" width="7.85546875" style="75" customWidth="1"/>
    <col min="2057" max="2058" width="13.7109375" style="75" customWidth="1"/>
    <col min="2059" max="2059" width="3.28515625" style="75" customWidth="1"/>
    <col min="2060" max="2060" width="2.140625" style="75" customWidth="1"/>
    <col min="2061" max="2304" width="9.140625" style="75"/>
    <col min="2305" max="2305" width="5.140625" style="75" customWidth="1"/>
    <col min="2306" max="2306" width="1.7109375" style="75" customWidth="1"/>
    <col min="2307" max="2307" width="12" style="75" customWidth="1"/>
    <col min="2308" max="2310" width="13.7109375" style="75" customWidth="1"/>
    <col min="2311" max="2311" width="5.7109375" style="75" customWidth="1"/>
    <col min="2312" max="2312" width="7.85546875" style="75" customWidth="1"/>
    <col min="2313" max="2314" width="13.7109375" style="75" customWidth="1"/>
    <col min="2315" max="2315" width="3.28515625" style="75" customWidth="1"/>
    <col min="2316" max="2316" width="2.140625" style="75" customWidth="1"/>
    <col min="2317" max="2560" width="9.140625" style="75"/>
    <col min="2561" max="2561" width="5.140625" style="75" customWidth="1"/>
    <col min="2562" max="2562" width="1.7109375" style="75" customWidth="1"/>
    <col min="2563" max="2563" width="12" style="75" customWidth="1"/>
    <col min="2564" max="2566" width="13.7109375" style="75" customWidth="1"/>
    <col min="2567" max="2567" width="5.7109375" style="75" customWidth="1"/>
    <col min="2568" max="2568" width="7.85546875" style="75" customWidth="1"/>
    <col min="2569" max="2570" width="13.7109375" style="75" customWidth="1"/>
    <col min="2571" max="2571" width="3.28515625" style="75" customWidth="1"/>
    <col min="2572" max="2572" width="2.140625" style="75" customWidth="1"/>
    <col min="2573" max="2816" width="9.140625" style="75"/>
    <col min="2817" max="2817" width="5.140625" style="75" customWidth="1"/>
    <col min="2818" max="2818" width="1.7109375" style="75" customWidth="1"/>
    <col min="2819" max="2819" width="12" style="75" customWidth="1"/>
    <col min="2820" max="2822" width="13.7109375" style="75" customWidth="1"/>
    <col min="2823" max="2823" width="5.7109375" style="75" customWidth="1"/>
    <col min="2824" max="2824" width="7.85546875" style="75" customWidth="1"/>
    <col min="2825" max="2826" width="13.7109375" style="75" customWidth="1"/>
    <col min="2827" max="2827" width="3.28515625" style="75" customWidth="1"/>
    <col min="2828" max="2828" width="2.140625" style="75" customWidth="1"/>
    <col min="2829" max="3072" width="9.140625" style="75"/>
    <col min="3073" max="3073" width="5.140625" style="75" customWidth="1"/>
    <col min="3074" max="3074" width="1.7109375" style="75" customWidth="1"/>
    <col min="3075" max="3075" width="12" style="75" customWidth="1"/>
    <col min="3076" max="3078" width="13.7109375" style="75" customWidth="1"/>
    <col min="3079" max="3079" width="5.7109375" style="75" customWidth="1"/>
    <col min="3080" max="3080" width="7.85546875" style="75" customWidth="1"/>
    <col min="3081" max="3082" width="13.7109375" style="75" customWidth="1"/>
    <col min="3083" max="3083" width="3.28515625" style="75" customWidth="1"/>
    <col min="3084" max="3084" width="2.140625" style="75" customWidth="1"/>
    <col min="3085" max="3328" width="9.140625" style="75"/>
    <col min="3329" max="3329" width="5.140625" style="75" customWidth="1"/>
    <col min="3330" max="3330" width="1.7109375" style="75" customWidth="1"/>
    <col min="3331" max="3331" width="12" style="75" customWidth="1"/>
    <col min="3332" max="3334" width="13.7109375" style="75" customWidth="1"/>
    <col min="3335" max="3335" width="5.7109375" style="75" customWidth="1"/>
    <col min="3336" max="3336" width="7.85546875" style="75" customWidth="1"/>
    <col min="3337" max="3338" width="13.7109375" style="75" customWidth="1"/>
    <col min="3339" max="3339" width="3.28515625" style="75" customWidth="1"/>
    <col min="3340" max="3340" width="2.140625" style="75" customWidth="1"/>
    <col min="3341" max="3584" width="9.140625" style="75"/>
    <col min="3585" max="3585" width="5.140625" style="75" customWidth="1"/>
    <col min="3586" max="3586" width="1.7109375" style="75" customWidth="1"/>
    <col min="3587" max="3587" width="12" style="75" customWidth="1"/>
    <col min="3588" max="3590" width="13.7109375" style="75" customWidth="1"/>
    <col min="3591" max="3591" width="5.7109375" style="75" customWidth="1"/>
    <col min="3592" max="3592" width="7.85546875" style="75" customWidth="1"/>
    <col min="3593" max="3594" width="13.7109375" style="75" customWidth="1"/>
    <col min="3595" max="3595" width="3.28515625" style="75" customWidth="1"/>
    <col min="3596" max="3596" width="2.140625" style="75" customWidth="1"/>
    <col min="3597" max="3840" width="9.140625" style="75"/>
    <col min="3841" max="3841" width="5.140625" style="75" customWidth="1"/>
    <col min="3842" max="3842" width="1.7109375" style="75" customWidth="1"/>
    <col min="3843" max="3843" width="12" style="75" customWidth="1"/>
    <col min="3844" max="3846" width="13.7109375" style="75" customWidth="1"/>
    <col min="3847" max="3847" width="5.7109375" style="75" customWidth="1"/>
    <col min="3848" max="3848" width="7.85546875" style="75" customWidth="1"/>
    <col min="3849" max="3850" width="13.7109375" style="75" customWidth="1"/>
    <col min="3851" max="3851" width="3.28515625" style="75" customWidth="1"/>
    <col min="3852" max="3852" width="2.140625" style="75" customWidth="1"/>
    <col min="3853" max="4096" width="9.140625" style="75"/>
    <col min="4097" max="4097" width="5.140625" style="75" customWidth="1"/>
    <col min="4098" max="4098" width="1.7109375" style="75" customWidth="1"/>
    <col min="4099" max="4099" width="12" style="75" customWidth="1"/>
    <col min="4100" max="4102" width="13.7109375" style="75" customWidth="1"/>
    <col min="4103" max="4103" width="5.7109375" style="75" customWidth="1"/>
    <col min="4104" max="4104" width="7.85546875" style="75" customWidth="1"/>
    <col min="4105" max="4106" width="13.7109375" style="75" customWidth="1"/>
    <col min="4107" max="4107" width="3.28515625" style="75" customWidth="1"/>
    <col min="4108" max="4108" width="2.140625" style="75" customWidth="1"/>
    <col min="4109" max="4352" width="9.140625" style="75"/>
    <col min="4353" max="4353" width="5.140625" style="75" customWidth="1"/>
    <col min="4354" max="4354" width="1.7109375" style="75" customWidth="1"/>
    <col min="4355" max="4355" width="12" style="75" customWidth="1"/>
    <col min="4356" max="4358" width="13.7109375" style="75" customWidth="1"/>
    <col min="4359" max="4359" width="5.7109375" style="75" customWidth="1"/>
    <col min="4360" max="4360" width="7.85546875" style="75" customWidth="1"/>
    <col min="4361" max="4362" width="13.7109375" style="75" customWidth="1"/>
    <col min="4363" max="4363" width="3.28515625" style="75" customWidth="1"/>
    <col min="4364" max="4364" width="2.140625" style="75" customWidth="1"/>
    <col min="4365" max="4608" width="9.140625" style="75"/>
    <col min="4609" max="4609" width="5.140625" style="75" customWidth="1"/>
    <col min="4610" max="4610" width="1.7109375" style="75" customWidth="1"/>
    <col min="4611" max="4611" width="12" style="75" customWidth="1"/>
    <col min="4612" max="4614" width="13.7109375" style="75" customWidth="1"/>
    <col min="4615" max="4615" width="5.7109375" style="75" customWidth="1"/>
    <col min="4616" max="4616" width="7.85546875" style="75" customWidth="1"/>
    <col min="4617" max="4618" width="13.7109375" style="75" customWidth="1"/>
    <col min="4619" max="4619" width="3.28515625" style="75" customWidth="1"/>
    <col min="4620" max="4620" width="2.140625" style="75" customWidth="1"/>
    <col min="4621" max="4864" width="9.140625" style="75"/>
    <col min="4865" max="4865" width="5.140625" style="75" customWidth="1"/>
    <col min="4866" max="4866" width="1.7109375" style="75" customWidth="1"/>
    <col min="4867" max="4867" width="12" style="75" customWidth="1"/>
    <col min="4868" max="4870" width="13.7109375" style="75" customWidth="1"/>
    <col min="4871" max="4871" width="5.7109375" style="75" customWidth="1"/>
    <col min="4872" max="4872" width="7.85546875" style="75" customWidth="1"/>
    <col min="4873" max="4874" width="13.7109375" style="75" customWidth="1"/>
    <col min="4875" max="4875" width="3.28515625" style="75" customWidth="1"/>
    <col min="4876" max="4876" width="2.140625" style="75" customWidth="1"/>
    <col min="4877" max="5120" width="9.140625" style="75"/>
    <col min="5121" max="5121" width="5.140625" style="75" customWidth="1"/>
    <col min="5122" max="5122" width="1.7109375" style="75" customWidth="1"/>
    <col min="5123" max="5123" width="12" style="75" customWidth="1"/>
    <col min="5124" max="5126" width="13.7109375" style="75" customWidth="1"/>
    <col min="5127" max="5127" width="5.7109375" style="75" customWidth="1"/>
    <col min="5128" max="5128" width="7.85546875" style="75" customWidth="1"/>
    <col min="5129" max="5130" width="13.7109375" style="75" customWidth="1"/>
    <col min="5131" max="5131" width="3.28515625" style="75" customWidth="1"/>
    <col min="5132" max="5132" width="2.140625" style="75" customWidth="1"/>
    <col min="5133" max="5376" width="9.140625" style="75"/>
    <col min="5377" max="5377" width="5.140625" style="75" customWidth="1"/>
    <col min="5378" max="5378" width="1.7109375" style="75" customWidth="1"/>
    <col min="5379" max="5379" width="12" style="75" customWidth="1"/>
    <col min="5380" max="5382" width="13.7109375" style="75" customWidth="1"/>
    <col min="5383" max="5383" width="5.7109375" style="75" customWidth="1"/>
    <col min="5384" max="5384" width="7.85546875" style="75" customWidth="1"/>
    <col min="5385" max="5386" width="13.7109375" style="75" customWidth="1"/>
    <col min="5387" max="5387" width="3.28515625" style="75" customWidth="1"/>
    <col min="5388" max="5388" width="2.140625" style="75" customWidth="1"/>
    <col min="5389" max="5632" width="9.140625" style="75"/>
    <col min="5633" max="5633" width="5.140625" style="75" customWidth="1"/>
    <col min="5634" max="5634" width="1.7109375" style="75" customWidth="1"/>
    <col min="5635" max="5635" width="12" style="75" customWidth="1"/>
    <col min="5636" max="5638" width="13.7109375" style="75" customWidth="1"/>
    <col min="5639" max="5639" width="5.7109375" style="75" customWidth="1"/>
    <col min="5640" max="5640" width="7.85546875" style="75" customWidth="1"/>
    <col min="5641" max="5642" width="13.7109375" style="75" customWidth="1"/>
    <col min="5643" max="5643" width="3.28515625" style="75" customWidth="1"/>
    <col min="5644" max="5644" width="2.140625" style="75" customWidth="1"/>
    <col min="5645" max="5888" width="9.140625" style="75"/>
    <col min="5889" max="5889" width="5.140625" style="75" customWidth="1"/>
    <col min="5890" max="5890" width="1.7109375" style="75" customWidth="1"/>
    <col min="5891" max="5891" width="12" style="75" customWidth="1"/>
    <col min="5892" max="5894" width="13.7109375" style="75" customWidth="1"/>
    <col min="5895" max="5895" width="5.7109375" style="75" customWidth="1"/>
    <col min="5896" max="5896" width="7.85546875" style="75" customWidth="1"/>
    <col min="5897" max="5898" width="13.7109375" style="75" customWidth="1"/>
    <col min="5899" max="5899" width="3.28515625" style="75" customWidth="1"/>
    <col min="5900" max="5900" width="2.140625" style="75" customWidth="1"/>
    <col min="5901" max="6144" width="9.140625" style="75"/>
    <col min="6145" max="6145" width="5.140625" style="75" customWidth="1"/>
    <col min="6146" max="6146" width="1.7109375" style="75" customWidth="1"/>
    <col min="6147" max="6147" width="12" style="75" customWidth="1"/>
    <col min="6148" max="6150" width="13.7109375" style="75" customWidth="1"/>
    <col min="6151" max="6151" width="5.7109375" style="75" customWidth="1"/>
    <col min="6152" max="6152" width="7.85546875" style="75" customWidth="1"/>
    <col min="6153" max="6154" width="13.7109375" style="75" customWidth="1"/>
    <col min="6155" max="6155" width="3.28515625" style="75" customWidth="1"/>
    <col min="6156" max="6156" width="2.140625" style="75" customWidth="1"/>
    <col min="6157" max="6400" width="9.140625" style="75"/>
    <col min="6401" max="6401" width="5.140625" style="75" customWidth="1"/>
    <col min="6402" max="6402" width="1.7109375" style="75" customWidth="1"/>
    <col min="6403" max="6403" width="12" style="75" customWidth="1"/>
    <col min="6404" max="6406" width="13.7109375" style="75" customWidth="1"/>
    <col min="6407" max="6407" width="5.7109375" style="75" customWidth="1"/>
    <col min="6408" max="6408" width="7.85546875" style="75" customWidth="1"/>
    <col min="6409" max="6410" width="13.7109375" style="75" customWidth="1"/>
    <col min="6411" max="6411" width="3.28515625" style="75" customWidth="1"/>
    <col min="6412" max="6412" width="2.140625" style="75" customWidth="1"/>
    <col min="6413" max="6656" width="9.140625" style="75"/>
    <col min="6657" max="6657" width="5.140625" style="75" customWidth="1"/>
    <col min="6658" max="6658" width="1.7109375" style="75" customWidth="1"/>
    <col min="6659" max="6659" width="12" style="75" customWidth="1"/>
    <col min="6660" max="6662" width="13.7109375" style="75" customWidth="1"/>
    <col min="6663" max="6663" width="5.7109375" style="75" customWidth="1"/>
    <col min="6664" max="6664" width="7.85546875" style="75" customWidth="1"/>
    <col min="6665" max="6666" width="13.7109375" style="75" customWidth="1"/>
    <col min="6667" max="6667" width="3.28515625" style="75" customWidth="1"/>
    <col min="6668" max="6668" width="2.140625" style="75" customWidth="1"/>
    <col min="6669" max="6912" width="9.140625" style="75"/>
    <col min="6913" max="6913" width="5.140625" style="75" customWidth="1"/>
    <col min="6914" max="6914" width="1.7109375" style="75" customWidth="1"/>
    <col min="6915" max="6915" width="12" style="75" customWidth="1"/>
    <col min="6916" max="6918" width="13.7109375" style="75" customWidth="1"/>
    <col min="6919" max="6919" width="5.7109375" style="75" customWidth="1"/>
    <col min="6920" max="6920" width="7.85546875" style="75" customWidth="1"/>
    <col min="6921" max="6922" width="13.7109375" style="75" customWidth="1"/>
    <col min="6923" max="6923" width="3.28515625" style="75" customWidth="1"/>
    <col min="6924" max="6924" width="2.140625" style="75" customWidth="1"/>
    <col min="6925" max="7168" width="9.140625" style="75"/>
    <col min="7169" max="7169" width="5.140625" style="75" customWidth="1"/>
    <col min="7170" max="7170" width="1.7109375" style="75" customWidth="1"/>
    <col min="7171" max="7171" width="12" style="75" customWidth="1"/>
    <col min="7172" max="7174" width="13.7109375" style="75" customWidth="1"/>
    <col min="7175" max="7175" width="5.7109375" style="75" customWidth="1"/>
    <col min="7176" max="7176" width="7.85546875" style="75" customWidth="1"/>
    <col min="7177" max="7178" width="13.7109375" style="75" customWidth="1"/>
    <col min="7179" max="7179" width="3.28515625" style="75" customWidth="1"/>
    <col min="7180" max="7180" width="2.140625" style="75" customWidth="1"/>
    <col min="7181" max="7424" width="9.140625" style="75"/>
    <col min="7425" max="7425" width="5.140625" style="75" customWidth="1"/>
    <col min="7426" max="7426" width="1.7109375" style="75" customWidth="1"/>
    <col min="7427" max="7427" width="12" style="75" customWidth="1"/>
    <col min="7428" max="7430" width="13.7109375" style="75" customWidth="1"/>
    <col min="7431" max="7431" width="5.7109375" style="75" customWidth="1"/>
    <col min="7432" max="7432" width="7.85546875" style="75" customWidth="1"/>
    <col min="7433" max="7434" width="13.7109375" style="75" customWidth="1"/>
    <col min="7435" max="7435" width="3.28515625" style="75" customWidth="1"/>
    <col min="7436" max="7436" width="2.140625" style="75" customWidth="1"/>
    <col min="7437" max="7680" width="9.140625" style="75"/>
    <col min="7681" max="7681" width="5.140625" style="75" customWidth="1"/>
    <col min="7682" max="7682" width="1.7109375" style="75" customWidth="1"/>
    <col min="7683" max="7683" width="12" style="75" customWidth="1"/>
    <col min="7684" max="7686" width="13.7109375" style="75" customWidth="1"/>
    <col min="7687" max="7687" width="5.7109375" style="75" customWidth="1"/>
    <col min="7688" max="7688" width="7.85546875" style="75" customWidth="1"/>
    <col min="7689" max="7690" width="13.7109375" style="75" customWidth="1"/>
    <col min="7691" max="7691" width="3.28515625" style="75" customWidth="1"/>
    <col min="7692" max="7692" width="2.140625" style="75" customWidth="1"/>
    <col min="7693" max="7936" width="9.140625" style="75"/>
    <col min="7937" max="7937" width="5.140625" style="75" customWidth="1"/>
    <col min="7938" max="7938" width="1.7109375" style="75" customWidth="1"/>
    <col min="7939" max="7939" width="12" style="75" customWidth="1"/>
    <col min="7940" max="7942" width="13.7109375" style="75" customWidth="1"/>
    <col min="7943" max="7943" width="5.7109375" style="75" customWidth="1"/>
    <col min="7944" max="7944" width="7.85546875" style="75" customWidth="1"/>
    <col min="7945" max="7946" width="13.7109375" style="75" customWidth="1"/>
    <col min="7947" max="7947" width="3.28515625" style="75" customWidth="1"/>
    <col min="7948" max="7948" width="2.140625" style="75" customWidth="1"/>
    <col min="7949" max="8192" width="9.140625" style="75"/>
    <col min="8193" max="8193" width="5.140625" style="75" customWidth="1"/>
    <col min="8194" max="8194" width="1.7109375" style="75" customWidth="1"/>
    <col min="8195" max="8195" width="12" style="75" customWidth="1"/>
    <col min="8196" max="8198" width="13.7109375" style="75" customWidth="1"/>
    <col min="8199" max="8199" width="5.7109375" style="75" customWidth="1"/>
    <col min="8200" max="8200" width="7.85546875" style="75" customWidth="1"/>
    <col min="8201" max="8202" width="13.7109375" style="75" customWidth="1"/>
    <col min="8203" max="8203" width="3.28515625" style="75" customWidth="1"/>
    <col min="8204" max="8204" width="2.140625" style="75" customWidth="1"/>
    <col min="8205" max="8448" width="9.140625" style="75"/>
    <col min="8449" max="8449" width="5.140625" style="75" customWidth="1"/>
    <col min="8450" max="8450" width="1.7109375" style="75" customWidth="1"/>
    <col min="8451" max="8451" width="12" style="75" customWidth="1"/>
    <col min="8452" max="8454" width="13.7109375" style="75" customWidth="1"/>
    <col min="8455" max="8455" width="5.7109375" style="75" customWidth="1"/>
    <col min="8456" max="8456" width="7.85546875" style="75" customWidth="1"/>
    <col min="8457" max="8458" width="13.7109375" style="75" customWidth="1"/>
    <col min="8459" max="8459" width="3.28515625" style="75" customWidth="1"/>
    <col min="8460" max="8460" width="2.140625" style="75" customWidth="1"/>
    <col min="8461" max="8704" width="9.140625" style="75"/>
    <col min="8705" max="8705" width="5.140625" style="75" customWidth="1"/>
    <col min="8706" max="8706" width="1.7109375" style="75" customWidth="1"/>
    <col min="8707" max="8707" width="12" style="75" customWidth="1"/>
    <col min="8708" max="8710" width="13.7109375" style="75" customWidth="1"/>
    <col min="8711" max="8711" width="5.7109375" style="75" customWidth="1"/>
    <col min="8712" max="8712" width="7.85546875" style="75" customWidth="1"/>
    <col min="8713" max="8714" width="13.7109375" style="75" customWidth="1"/>
    <col min="8715" max="8715" width="3.28515625" style="75" customWidth="1"/>
    <col min="8716" max="8716" width="2.140625" style="75" customWidth="1"/>
    <col min="8717" max="8960" width="9.140625" style="75"/>
    <col min="8961" max="8961" width="5.140625" style="75" customWidth="1"/>
    <col min="8962" max="8962" width="1.7109375" style="75" customWidth="1"/>
    <col min="8963" max="8963" width="12" style="75" customWidth="1"/>
    <col min="8964" max="8966" width="13.7109375" style="75" customWidth="1"/>
    <col min="8967" max="8967" width="5.7109375" style="75" customWidth="1"/>
    <col min="8968" max="8968" width="7.85546875" style="75" customWidth="1"/>
    <col min="8969" max="8970" width="13.7109375" style="75" customWidth="1"/>
    <col min="8971" max="8971" width="3.28515625" style="75" customWidth="1"/>
    <col min="8972" max="8972" width="2.140625" style="75" customWidth="1"/>
    <col min="8973" max="9216" width="9.140625" style="75"/>
    <col min="9217" max="9217" width="5.140625" style="75" customWidth="1"/>
    <col min="9218" max="9218" width="1.7109375" style="75" customWidth="1"/>
    <col min="9219" max="9219" width="12" style="75" customWidth="1"/>
    <col min="9220" max="9222" width="13.7109375" style="75" customWidth="1"/>
    <col min="9223" max="9223" width="5.7109375" style="75" customWidth="1"/>
    <col min="9224" max="9224" width="7.85546875" style="75" customWidth="1"/>
    <col min="9225" max="9226" width="13.7109375" style="75" customWidth="1"/>
    <col min="9227" max="9227" width="3.28515625" style="75" customWidth="1"/>
    <col min="9228" max="9228" width="2.140625" style="75" customWidth="1"/>
    <col min="9229" max="9472" width="9.140625" style="75"/>
    <col min="9473" max="9473" width="5.140625" style="75" customWidth="1"/>
    <col min="9474" max="9474" width="1.7109375" style="75" customWidth="1"/>
    <col min="9475" max="9475" width="12" style="75" customWidth="1"/>
    <col min="9476" max="9478" width="13.7109375" style="75" customWidth="1"/>
    <col min="9479" max="9479" width="5.7109375" style="75" customWidth="1"/>
    <col min="9480" max="9480" width="7.85546875" style="75" customWidth="1"/>
    <col min="9481" max="9482" width="13.7109375" style="75" customWidth="1"/>
    <col min="9483" max="9483" width="3.28515625" style="75" customWidth="1"/>
    <col min="9484" max="9484" width="2.140625" style="75" customWidth="1"/>
    <col min="9485" max="9728" width="9.140625" style="75"/>
    <col min="9729" max="9729" width="5.140625" style="75" customWidth="1"/>
    <col min="9730" max="9730" width="1.7109375" style="75" customWidth="1"/>
    <col min="9731" max="9731" width="12" style="75" customWidth="1"/>
    <col min="9732" max="9734" width="13.7109375" style="75" customWidth="1"/>
    <col min="9735" max="9735" width="5.7109375" style="75" customWidth="1"/>
    <col min="9736" max="9736" width="7.85546875" style="75" customWidth="1"/>
    <col min="9737" max="9738" width="13.7109375" style="75" customWidth="1"/>
    <col min="9739" max="9739" width="3.28515625" style="75" customWidth="1"/>
    <col min="9740" max="9740" width="2.140625" style="75" customWidth="1"/>
    <col min="9741" max="9984" width="9.140625" style="75"/>
    <col min="9985" max="9985" width="5.140625" style="75" customWidth="1"/>
    <col min="9986" max="9986" width="1.7109375" style="75" customWidth="1"/>
    <col min="9987" max="9987" width="12" style="75" customWidth="1"/>
    <col min="9988" max="9990" width="13.7109375" style="75" customWidth="1"/>
    <col min="9991" max="9991" width="5.7109375" style="75" customWidth="1"/>
    <col min="9992" max="9992" width="7.85546875" style="75" customWidth="1"/>
    <col min="9993" max="9994" width="13.7109375" style="75" customWidth="1"/>
    <col min="9995" max="9995" width="3.28515625" style="75" customWidth="1"/>
    <col min="9996" max="9996" width="2.140625" style="75" customWidth="1"/>
    <col min="9997" max="10240" width="9.140625" style="75"/>
    <col min="10241" max="10241" width="5.140625" style="75" customWidth="1"/>
    <col min="10242" max="10242" width="1.7109375" style="75" customWidth="1"/>
    <col min="10243" max="10243" width="12" style="75" customWidth="1"/>
    <col min="10244" max="10246" width="13.7109375" style="75" customWidth="1"/>
    <col min="10247" max="10247" width="5.7109375" style="75" customWidth="1"/>
    <col min="10248" max="10248" width="7.85546875" style="75" customWidth="1"/>
    <col min="10249" max="10250" width="13.7109375" style="75" customWidth="1"/>
    <col min="10251" max="10251" width="3.28515625" style="75" customWidth="1"/>
    <col min="10252" max="10252" width="2.140625" style="75" customWidth="1"/>
    <col min="10253" max="10496" width="9.140625" style="75"/>
    <col min="10497" max="10497" width="5.140625" style="75" customWidth="1"/>
    <col min="10498" max="10498" width="1.7109375" style="75" customWidth="1"/>
    <col min="10499" max="10499" width="12" style="75" customWidth="1"/>
    <col min="10500" max="10502" width="13.7109375" style="75" customWidth="1"/>
    <col min="10503" max="10503" width="5.7109375" style="75" customWidth="1"/>
    <col min="10504" max="10504" width="7.85546875" style="75" customWidth="1"/>
    <col min="10505" max="10506" width="13.7109375" style="75" customWidth="1"/>
    <col min="10507" max="10507" width="3.28515625" style="75" customWidth="1"/>
    <col min="10508" max="10508" width="2.140625" style="75" customWidth="1"/>
    <col min="10509" max="10752" width="9.140625" style="75"/>
    <col min="10753" max="10753" width="5.140625" style="75" customWidth="1"/>
    <col min="10754" max="10754" width="1.7109375" style="75" customWidth="1"/>
    <col min="10755" max="10755" width="12" style="75" customWidth="1"/>
    <col min="10756" max="10758" width="13.7109375" style="75" customWidth="1"/>
    <col min="10759" max="10759" width="5.7109375" style="75" customWidth="1"/>
    <col min="10760" max="10760" width="7.85546875" style="75" customWidth="1"/>
    <col min="10761" max="10762" width="13.7109375" style="75" customWidth="1"/>
    <col min="10763" max="10763" width="3.28515625" style="75" customWidth="1"/>
    <col min="10764" max="10764" width="2.140625" style="75" customWidth="1"/>
    <col min="10765" max="11008" width="9.140625" style="75"/>
    <col min="11009" max="11009" width="5.140625" style="75" customWidth="1"/>
    <col min="11010" max="11010" width="1.7109375" style="75" customWidth="1"/>
    <col min="11011" max="11011" width="12" style="75" customWidth="1"/>
    <col min="11012" max="11014" width="13.7109375" style="75" customWidth="1"/>
    <col min="11015" max="11015" width="5.7109375" style="75" customWidth="1"/>
    <col min="11016" max="11016" width="7.85546875" style="75" customWidth="1"/>
    <col min="11017" max="11018" width="13.7109375" style="75" customWidth="1"/>
    <col min="11019" max="11019" width="3.28515625" style="75" customWidth="1"/>
    <col min="11020" max="11020" width="2.140625" style="75" customWidth="1"/>
    <col min="11021" max="11264" width="9.140625" style="75"/>
    <col min="11265" max="11265" width="5.140625" style="75" customWidth="1"/>
    <col min="11266" max="11266" width="1.7109375" style="75" customWidth="1"/>
    <col min="11267" max="11267" width="12" style="75" customWidth="1"/>
    <col min="11268" max="11270" width="13.7109375" style="75" customWidth="1"/>
    <col min="11271" max="11271" width="5.7109375" style="75" customWidth="1"/>
    <col min="11272" max="11272" width="7.85546875" style="75" customWidth="1"/>
    <col min="11273" max="11274" width="13.7109375" style="75" customWidth="1"/>
    <col min="11275" max="11275" width="3.28515625" style="75" customWidth="1"/>
    <col min="11276" max="11276" width="2.140625" style="75" customWidth="1"/>
    <col min="11277" max="11520" width="9.140625" style="75"/>
    <col min="11521" max="11521" width="5.140625" style="75" customWidth="1"/>
    <col min="11522" max="11522" width="1.7109375" style="75" customWidth="1"/>
    <col min="11523" max="11523" width="12" style="75" customWidth="1"/>
    <col min="11524" max="11526" width="13.7109375" style="75" customWidth="1"/>
    <col min="11527" max="11527" width="5.7109375" style="75" customWidth="1"/>
    <col min="11528" max="11528" width="7.85546875" style="75" customWidth="1"/>
    <col min="11529" max="11530" width="13.7109375" style="75" customWidth="1"/>
    <col min="11531" max="11531" width="3.28515625" style="75" customWidth="1"/>
    <col min="11532" max="11532" width="2.140625" style="75" customWidth="1"/>
    <col min="11533" max="11776" width="9.140625" style="75"/>
    <col min="11777" max="11777" width="5.140625" style="75" customWidth="1"/>
    <col min="11778" max="11778" width="1.7109375" style="75" customWidth="1"/>
    <col min="11779" max="11779" width="12" style="75" customWidth="1"/>
    <col min="11780" max="11782" width="13.7109375" style="75" customWidth="1"/>
    <col min="11783" max="11783" width="5.7109375" style="75" customWidth="1"/>
    <col min="11784" max="11784" width="7.85546875" style="75" customWidth="1"/>
    <col min="11785" max="11786" width="13.7109375" style="75" customWidth="1"/>
    <col min="11787" max="11787" width="3.28515625" style="75" customWidth="1"/>
    <col min="11788" max="11788" width="2.140625" style="75" customWidth="1"/>
    <col min="11789" max="12032" width="9.140625" style="75"/>
    <col min="12033" max="12033" width="5.140625" style="75" customWidth="1"/>
    <col min="12034" max="12034" width="1.7109375" style="75" customWidth="1"/>
    <col min="12035" max="12035" width="12" style="75" customWidth="1"/>
    <col min="12036" max="12038" width="13.7109375" style="75" customWidth="1"/>
    <col min="12039" max="12039" width="5.7109375" style="75" customWidth="1"/>
    <col min="12040" max="12040" width="7.85546875" style="75" customWidth="1"/>
    <col min="12041" max="12042" width="13.7109375" style="75" customWidth="1"/>
    <col min="12043" max="12043" width="3.28515625" style="75" customWidth="1"/>
    <col min="12044" max="12044" width="2.140625" style="75" customWidth="1"/>
    <col min="12045" max="12288" width="9.140625" style="75"/>
    <col min="12289" max="12289" width="5.140625" style="75" customWidth="1"/>
    <col min="12290" max="12290" width="1.7109375" style="75" customWidth="1"/>
    <col min="12291" max="12291" width="12" style="75" customWidth="1"/>
    <col min="12292" max="12294" width="13.7109375" style="75" customWidth="1"/>
    <col min="12295" max="12295" width="5.7109375" style="75" customWidth="1"/>
    <col min="12296" max="12296" width="7.85546875" style="75" customWidth="1"/>
    <col min="12297" max="12298" width="13.7109375" style="75" customWidth="1"/>
    <col min="12299" max="12299" width="3.28515625" style="75" customWidth="1"/>
    <col min="12300" max="12300" width="2.140625" style="75" customWidth="1"/>
    <col min="12301" max="12544" width="9.140625" style="75"/>
    <col min="12545" max="12545" width="5.140625" style="75" customWidth="1"/>
    <col min="12546" max="12546" width="1.7109375" style="75" customWidth="1"/>
    <col min="12547" max="12547" width="12" style="75" customWidth="1"/>
    <col min="12548" max="12550" width="13.7109375" style="75" customWidth="1"/>
    <col min="12551" max="12551" width="5.7109375" style="75" customWidth="1"/>
    <col min="12552" max="12552" width="7.85546875" style="75" customWidth="1"/>
    <col min="12553" max="12554" width="13.7109375" style="75" customWidth="1"/>
    <col min="12555" max="12555" width="3.28515625" style="75" customWidth="1"/>
    <col min="12556" max="12556" width="2.140625" style="75" customWidth="1"/>
    <col min="12557" max="12800" width="9.140625" style="75"/>
    <col min="12801" max="12801" width="5.140625" style="75" customWidth="1"/>
    <col min="12802" max="12802" width="1.7109375" style="75" customWidth="1"/>
    <col min="12803" max="12803" width="12" style="75" customWidth="1"/>
    <col min="12804" max="12806" width="13.7109375" style="75" customWidth="1"/>
    <col min="12807" max="12807" width="5.7109375" style="75" customWidth="1"/>
    <col min="12808" max="12808" width="7.85546875" style="75" customWidth="1"/>
    <col min="12809" max="12810" width="13.7109375" style="75" customWidth="1"/>
    <col min="12811" max="12811" width="3.28515625" style="75" customWidth="1"/>
    <col min="12812" max="12812" width="2.140625" style="75" customWidth="1"/>
    <col min="12813" max="13056" width="9.140625" style="75"/>
    <col min="13057" max="13057" width="5.140625" style="75" customWidth="1"/>
    <col min="13058" max="13058" width="1.7109375" style="75" customWidth="1"/>
    <col min="13059" max="13059" width="12" style="75" customWidth="1"/>
    <col min="13060" max="13062" width="13.7109375" style="75" customWidth="1"/>
    <col min="13063" max="13063" width="5.7109375" style="75" customWidth="1"/>
    <col min="13064" max="13064" width="7.85546875" style="75" customWidth="1"/>
    <col min="13065" max="13066" width="13.7109375" style="75" customWidth="1"/>
    <col min="13067" max="13067" width="3.28515625" style="75" customWidth="1"/>
    <col min="13068" max="13068" width="2.140625" style="75" customWidth="1"/>
    <col min="13069" max="13312" width="9.140625" style="75"/>
    <col min="13313" max="13313" width="5.140625" style="75" customWidth="1"/>
    <col min="13314" max="13314" width="1.7109375" style="75" customWidth="1"/>
    <col min="13315" max="13315" width="12" style="75" customWidth="1"/>
    <col min="13316" max="13318" width="13.7109375" style="75" customWidth="1"/>
    <col min="13319" max="13319" width="5.7109375" style="75" customWidth="1"/>
    <col min="13320" max="13320" width="7.85546875" style="75" customWidth="1"/>
    <col min="13321" max="13322" width="13.7109375" style="75" customWidth="1"/>
    <col min="13323" max="13323" width="3.28515625" style="75" customWidth="1"/>
    <col min="13324" max="13324" width="2.140625" style="75" customWidth="1"/>
    <col min="13325" max="13568" width="9.140625" style="75"/>
    <col min="13569" max="13569" width="5.140625" style="75" customWidth="1"/>
    <col min="13570" max="13570" width="1.7109375" style="75" customWidth="1"/>
    <col min="13571" max="13571" width="12" style="75" customWidth="1"/>
    <col min="13572" max="13574" width="13.7109375" style="75" customWidth="1"/>
    <col min="13575" max="13575" width="5.7109375" style="75" customWidth="1"/>
    <col min="13576" max="13576" width="7.85546875" style="75" customWidth="1"/>
    <col min="13577" max="13578" width="13.7109375" style="75" customWidth="1"/>
    <col min="13579" max="13579" width="3.28515625" style="75" customWidth="1"/>
    <col min="13580" max="13580" width="2.140625" style="75" customWidth="1"/>
    <col min="13581" max="13824" width="9.140625" style="75"/>
    <col min="13825" max="13825" width="5.140625" style="75" customWidth="1"/>
    <col min="13826" max="13826" width="1.7109375" style="75" customWidth="1"/>
    <col min="13827" max="13827" width="12" style="75" customWidth="1"/>
    <col min="13828" max="13830" width="13.7109375" style="75" customWidth="1"/>
    <col min="13831" max="13831" width="5.7109375" style="75" customWidth="1"/>
    <col min="13832" max="13832" width="7.85546875" style="75" customWidth="1"/>
    <col min="13833" max="13834" width="13.7109375" style="75" customWidth="1"/>
    <col min="13835" max="13835" width="3.28515625" style="75" customWidth="1"/>
    <col min="13836" max="13836" width="2.140625" style="75" customWidth="1"/>
    <col min="13837" max="14080" width="9.140625" style="75"/>
    <col min="14081" max="14081" width="5.140625" style="75" customWidth="1"/>
    <col min="14082" max="14082" width="1.7109375" style="75" customWidth="1"/>
    <col min="14083" max="14083" width="12" style="75" customWidth="1"/>
    <col min="14084" max="14086" width="13.7109375" style="75" customWidth="1"/>
    <col min="14087" max="14087" width="5.7109375" style="75" customWidth="1"/>
    <col min="14088" max="14088" width="7.85546875" style="75" customWidth="1"/>
    <col min="14089" max="14090" width="13.7109375" style="75" customWidth="1"/>
    <col min="14091" max="14091" width="3.28515625" style="75" customWidth="1"/>
    <col min="14092" max="14092" width="2.140625" style="75" customWidth="1"/>
    <col min="14093" max="14336" width="9.140625" style="75"/>
    <col min="14337" max="14337" width="5.140625" style="75" customWidth="1"/>
    <col min="14338" max="14338" width="1.7109375" style="75" customWidth="1"/>
    <col min="14339" max="14339" width="12" style="75" customWidth="1"/>
    <col min="14340" max="14342" width="13.7109375" style="75" customWidth="1"/>
    <col min="14343" max="14343" width="5.7109375" style="75" customWidth="1"/>
    <col min="14344" max="14344" width="7.85546875" style="75" customWidth="1"/>
    <col min="14345" max="14346" width="13.7109375" style="75" customWidth="1"/>
    <col min="14347" max="14347" width="3.28515625" style="75" customWidth="1"/>
    <col min="14348" max="14348" width="2.140625" style="75" customWidth="1"/>
    <col min="14349" max="14592" width="9.140625" style="75"/>
    <col min="14593" max="14593" width="5.140625" style="75" customWidth="1"/>
    <col min="14594" max="14594" width="1.7109375" style="75" customWidth="1"/>
    <col min="14595" max="14595" width="12" style="75" customWidth="1"/>
    <col min="14596" max="14598" width="13.7109375" style="75" customWidth="1"/>
    <col min="14599" max="14599" width="5.7109375" style="75" customWidth="1"/>
    <col min="14600" max="14600" width="7.85546875" style="75" customWidth="1"/>
    <col min="14601" max="14602" width="13.7109375" style="75" customWidth="1"/>
    <col min="14603" max="14603" width="3.28515625" style="75" customWidth="1"/>
    <col min="14604" max="14604" width="2.140625" style="75" customWidth="1"/>
    <col min="14605" max="14848" width="9.140625" style="75"/>
    <col min="14849" max="14849" width="5.140625" style="75" customWidth="1"/>
    <col min="14850" max="14850" width="1.7109375" style="75" customWidth="1"/>
    <col min="14851" max="14851" width="12" style="75" customWidth="1"/>
    <col min="14852" max="14854" width="13.7109375" style="75" customWidth="1"/>
    <col min="14855" max="14855" width="5.7109375" style="75" customWidth="1"/>
    <col min="14856" max="14856" width="7.85546875" style="75" customWidth="1"/>
    <col min="14857" max="14858" width="13.7109375" style="75" customWidth="1"/>
    <col min="14859" max="14859" width="3.28515625" style="75" customWidth="1"/>
    <col min="14860" max="14860" width="2.140625" style="75" customWidth="1"/>
    <col min="14861" max="15104" width="9.140625" style="75"/>
    <col min="15105" max="15105" width="5.140625" style="75" customWidth="1"/>
    <col min="15106" max="15106" width="1.7109375" style="75" customWidth="1"/>
    <col min="15107" max="15107" width="12" style="75" customWidth="1"/>
    <col min="15108" max="15110" width="13.7109375" style="75" customWidth="1"/>
    <col min="15111" max="15111" width="5.7109375" style="75" customWidth="1"/>
    <col min="15112" max="15112" width="7.85546875" style="75" customWidth="1"/>
    <col min="15113" max="15114" width="13.7109375" style="75" customWidth="1"/>
    <col min="15115" max="15115" width="3.28515625" style="75" customWidth="1"/>
    <col min="15116" max="15116" width="2.140625" style="75" customWidth="1"/>
    <col min="15117" max="15360" width="9.140625" style="75"/>
    <col min="15361" max="15361" width="5.140625" style="75" customWidth="1"/>
    <col min="15362" max="15362" width="1.7109375" style="75" customWidth="1"/>
    <col min="15363" max="15363" width="12" style="75" customWidth="1"/>
    <col min="15364" max="15366" width="13.7109375" style="75" customWidth="1"/>
    <col min="15367" max="15367" width="5.7109375" style="75" customWidth="1"/>
    <col min="15368" max="15368" width="7.85546875" style="75" customWidth="1"/>
    <col min="15369" max="15370" width="13.7109375" style="75" customWidth="1"/>
    <col min="15371" max="15371" width="3.28515625" style="75" customWidth="1"/>
    <col min="15372" max="15372" width="2.140625" style="75" customWidth="1"/>
    <col min="15373" max="15616" width="9.140625" style="75"/>
    <col min="15617" max="15617" width="5.140625" style="75" customWidth="1"/>
    <col min="15618" max="15618" width="1.7109375" style="75" customWidth="1"/>
    <col min="15619" max="15619" width="12" style="75" customWidth="1"/>
    <col min="15620" max="15622" width="13.7109375" style="75" customWidth="1"/>
    <col min="15623" max="15623" width="5.7109375" style="75" customWidth="1"/>
    <col min="15624" max="15624" width="7.85546875" style="75" customWidth="1"/>
    <col min="15625" max="15626" width="13.7109375" style="75" customWidth="1"/>
    <col min="15627" max="15627" width="3.28515625" style="75" customWidth="1"/>
    <col min="15628" max="15628" width="2.140625" style="75" customWidth="1"/>
    <col min="15629" max="15872" width="9.140625" style="75"/>
    <col min="15873" max="15873" width="5.140625" style="75" customWidth="1"/>
    <col min="15874" max="15874" width="1.7109375" style="75" customWidth="1"/>
    <col min="15875" max="15875" width="12" style="75" customWidth="1"/>
    <col min="15876" max="15878" width="13.7109375" style="75" customWidth="1"/>
    <col min="15879" max="15879" width="5.7109375" style="75" customWidth="1"/>
    <col min="15880" max="15880" width="7.85546875" style="75" customWidth="1"/>
    <col min="15881" max="15882" width="13.7109375" style="75" customWidth="1"/>
    <col min="15883" max="15883" width="3.28515625" style="75" customWidth="1"/>
    <col min="15884" max="15884" width="2.140625" style="75" customWidth="1"/>
    <col min="15885" max="16128" width="9.140625" style="75"/>
    <col min="16129" max="16129" width="5.140625" style="75" customWidth="1"/>
    <col min="16130" max="16130" width="1.7109375" style="75" customWidth="1"/>
    <col min="16131" max="16131" width="12" style="75" customWidth="1"/>
    <col min="16132" max="16134" width="13.7109375" style="75" customWidth="1"/>
    <col min="16135" max="16135" width="5.7109375" style="75" customWidth="1"/>
    <col min="16136" max="16136" width="7.85546875" style="75" customWidth="1"/>
    <col min="16137" max="16138" width="13.7109375" style="75" customWidth="1"/>
    <col min="16139" max="16139" width="3.28515625" style="75" customWidth="1"/>
    <col min="16140" max="16140" width="2.140625" style="75" customWidth="1"/>
    <col min="16141" max="16384" width="9.140625" style="75"/>
  </cols>
  <sheetData>
    <row r="1" spans="2:10" ht="14.25" customHeight="1" x14ac:dyDescent="0.2"/>
    <row r="2" spans="2:10" ht="18" customHeight="1" x14ac:dyDescent="0.2">
      <c r="C2" s="125" t="s">
        <v>438</v>
      </c>
      <c r="D2" s="126"/>
      <c r="E2" s="126"/>
      <c r="F2" s="126"/>
      <c r="G2" s="126"/>
    </row>
    <row r="3" spans="2:10" ht="21.95" customHeight="1" x14ac:dyDescent="0.2"/>
    <row r="4" spans="2:10" ht="18" customHeight="1" x14ac:dyDescent="0.2"/>
    <row r="5" spans="2:10" ht="38.25" customHeight="1" x14ac:dyDescent="0.2">
      <c r="B5" s="130" t="s">
        <v>439</v>
      </c>
      <c r="C5" s="126"/>
      <c r="D5" s="85" t="s">
        <v>503</v>
      </c>
      <c r="E5" s="85" t="s">
        <v>441</v>
      </c>
      <c r="F5" s="85" t="s">
        <v>442</v>
      </c>
      <c r="G5" s="130" t="s">
        <v>443</v>
      </c>
      <c r="H5" s="126"/>
      <c r="I5" s="85" t="s">
        <v>444</v>
      </c>
    </row>
    <row r="6" spans="2:10" ht="14.25" x14ac:dyDescent="0.2">
      <c r="B6" s="130" t="s">
        <v>445</v>
      </c>
      <c r="C6" s="126"/>
      <c r="D6" s="85" t="s">
        <v>446</v>
      </c>
      <c r="E6" s="85" t="s">
        <v>447</v>
      </c>
      <c r="F6" s="85" t="s">
        <v>504</v>
      </c>
      <c r="G6" s="130" t="s">
        <v>449</v>
      </c>
      <c r="H6" s="126"/>
      <c r="I6" s="86">
        <v>2025</v>
      </c>
    </row>
    <row r="7" spans="2:10" ht="9.6" customHeight="1" x14ac:dyDescent="0.2"/>
    <row r="8" spans="2:10" ht="18" customHeight="1" x14ac:dyDescent="0.2">
      <c r="B8" s="131" t="s">
        <v>450</v>
      </c>
      <c r="C8" s="126"/>
      <c r="D8" s="126"/>
      <c r="E8" s="128"/>
      <c r="F8" s="126"/>
      <c r="G8" s="126"/>
      <c r="H8" s="126"/>
      <c r="I8" s="126"/>
    </row>
    <row r="9" spans="2:10" ht="18" customHeight="1" x14ac:dyDescent="0.2">
      <c r="B9" s="128" t="s">
        <v>451</v>
      </c>
      <c r="C9" s="126"/>
      <c r="D9" s="126"/>
      <c r="E9" s="128"/>
      <c r="F9" s="126"/>
      <c r="G9" s="126"/>
      <c r="H9" s="126"/>
      <c r="I9" s="126"/>
    </row>
    <row r="10" spans="2:10" ht="18" customHeight="1" x14ac:dyDescent="0.2">
      <c r="B10" s="128" t="s">
        <v>452</v>
      </c>
      <c r="C10" s="126"/>
      <c r="D10" s="126"/>
      <c r="E10" s="129" t="s">
        <v>453</v>
      </c>
      <c r="F10" s="126"/>
      <c r="G10" s="126"/>
      <c r="H10" s="126"/>
      <c r="I10" s="126"/>
    </row>
    <row r="11" spans="2:10" ht="18" customHeight="1" x14ac:dyDescent="0.2">
      <c r="B11" s="128" t="s">
        <v>454</v>
      </c>
      <c r="C11" s="126"/>
      <c r="D11" s="126"/>
      <c r="E11" s="129" t="s">
        <v>455</v>
      </c>
      <c r="F11" s="126"/>
      <c r="G11" s="126"/>
      <c r="H11" s="126"/>
      <c r="I11" s="126"/>
    </row>
    <row r="12" spans="2:10" ht="18" customHeight="1" x14ac:dyDescent="0.2">
      <c r="B12" s="128" t="s">
        <v>456</v>
      </c>
      <c r="C12" s="126"/>
      <c r="D12" s="126"/>
      <c r="E12" s="128" t="s">
        <v>457</v>
      </c>
      <c r="F12" s="126"/>
      <c r="G12" s="126"/>
      <c r="H12" s="126"/>
      <c r="I12" s="126"/>
    </row>
    <row r="13" spans="2:10" ht="11.25" customHeight="1" x14ac:dyDescent="0.2">
      <c r="B13" s="128"/>
      <c r="C13" s="126"/>
      <c r="D13" s="126"/>
      <c r="E13" s="129" t="s">
        <v>458</v>
      </c>
      <c r="F13" s="126"/>
      <c r="G13" s="126"/>
      <c r="H13" s="126"/>
      <c r="I13" s="126"/>
    </row>
    <row r="14" spans="2:10" ht="7.5" customHeight="1" x14ac:dyDescent="0.2"/>
    <row r="15" spans="2:10" ht="18" customHeight="1" x14ac:dyDescent="0.2">
      <c r="B15" s="135" t="s">
        <v>459</v>
      </c>
      <c r="C15" s="133"/>
      <c r="D15" s="133"/>
      <c r="E15" s="133"/>
      <c r="F15" s="133"/>
      <c r="G15" s="133"/>
      <c r="H15" s="133"/>
      <c r="I15" s="133"/>
      <c r="J15" s="124"/>
    </row>
    <row r="16" spans="2:10" ht="12.75" customHeight="1" x14ac:dyDescent="0.2">
      <c r="B16" s="127" t="s">
        <v>460</v>
      </c>
      <c r="C16" s="133"/>
      <c r="D16" s="124"/>
      <c r="E16" s="127" t="s">
        <v>461</v>
      </c>
      <c r="F16" s="124"/>
      <c r="G16" s="127" t="s">
        <v>462</v>
      </c>
      <c r="H16" s="124"/>
      <c r="I16" s="87" t="s">
        <v>463</v>
      </c>
      <c r="J16" s="87" t="s">
        <v>464</v>
      </c>
    </row>
    <row r="17" spans="2:10" ht="27.75" customHeight="1" x14ac:dyDescent="0.2">
      <c r="B17" s="132" t="s">
        <v>465</v>
      </c>
      <c r="C17" s="133"/>
      <c r="D17" s="124"/>
      <c r="E17" s="132"/>
      <c r="F17" s="124"/>
      <c r="G17" s="134"/>
      <c r="H17" s="124"/>
      <c r="I17" s="88"/>
      <c r="J17" s="88"/>
    </row>
    <row r="18" spans="2:10" ht="7.5" customHeight="1" x14ac:dyDescent="0.2"/>
    <row r="19" spans="2:10" ht="18" customHeight="1" x14ac:dyDescent="0.2">
      <c r="B19" s="135" t="s">
        <v>466</v>
      </c>
      <c r="C19" s="133"/>
      <c r="D19" s="133"/>
      <c r="E19" s="133"/>
      <c r="F19" s="133"/>
      <c r="G19" s="133"/>
      <c r="H19" s="133"/>
      <c r="I19" s="133"/>
      <c r="J19" s="124"/>
    </row>
    <row r="20" spans="2:10" ht="12.75" customHeight="1" x14ac:dyDescent="0.2">
      <c r="B20" s="127" t="s">
        <v>460</v>
      </c>
      <c r="C20" s="133"/>
      <c r="D20" s="124"/>
      <c r="E20" s="127" t="s">
        <v>461</v>
      </c>
      <c r="F20" s="124"/>
      <c r="G20" s="127" t="s">
        <v>462</v>
      </c>
      <c r="H20" s="124"/>
      <c r="I20" s="87" t="s">
        <v>463</v>
      </c>
      <c r="J20" s="87" t="s">
        <v>464</v>
      </c>
    </row>
    <row r="21" spans="2:10" ht="27.75" customHeight="1" x14ac:dyDescent="0.2">
      <c r="B21" s="132" t="s">
        <v>465</v>
      </c>
      <c r="C21" s="133"/>
      <c r="D21" s="124"/>
      <c r="E21" s="132"/>
      <c r="F21" s="124"/>
      <c r="G21" s="134"/>
      <c r="H21" s="124"/>
      <c r="I21" s="88"/>
      <c r="J21" s="88"/>
    </row>
    <row r="22" spans="2:10" ht="9.9499999999999993" customHeight="1" x14ac:dyDescent="0.2"/>
    <row r="23" spans="2:10" ht="18" customHeight="1" x14ac:dyDescent="0.2">
      <c r="B23" s="135" t="s">
        <v>467</v>
      </c>
      <c r="C23" s="133"/>
      <c r="D23" s="133"/>
      <c r="E23" s="133"/>
      <c r="F23" s="133"/>
      <c r="G23" s="133"/>
      <c r="H23" s="133"/>
      <c r="I23" s="133"/>
      <c r="J23" s="124"/>
    </row>
    <row r="24" spans="2:10" ht="12.75" customHeight="1" x14ac:dyDescent="0.2">
      <c r="B24" s="127" t="s">
        <v>460</v>
      </c>
      <c r="C24" s="133"/>
      <c r="D24" s="124"/>
      <c r="E24" s="127" t="s">
        <v>461</v>
      </c>
      <c r="F24" s="124"/>
      <c r="G24" s="127" t="s">
        <v>462</v>
      </c>
      <c r="H24" s="124"/>
      <c r="I24" s="87" t="s">
        <v>463</v>
      </c>
      <c r="J24" s="87" t="s">
        <v>464</v>
      </c>
    </row>
    <row r="25" spans="2:10" ht="27.75" customHeight="1" x14ac:dyDescent="0.2">
      <c r="B25" s="132" t="s">
        <v>465</v>
      </c>
      <c r="C25" s="133"/>
      <c r="D25" s="124"/>
      <c r="E25" s="132"/>
      <c r="F25" s="124"/>
      <c r="G25" s="134"/>
      <c r="H25" s="124"/>
      <c r="I25" s="88"/>
      <c r="J25" s="88"/>
    </row>
    <row r="26" spans="2:10" ht="9.1999999999999993" customHeight="1" x14ac:dyDescent="0.2"/>
    <row r="27" spans="2:10" ht="18" customHeight="1" x14ac:dyDescent="0.2">
      <c r="B27" s="135" t="s">
        <v>468</v>
      </c>
      <c r="C27" s="133"/>
      <c r="D27" s="133"/>
      <c r="E27" s="133"/>
      <c r="F27" s="133"/>
      <c r="G27" s="133"/>
      <c r="H27" s="133"/>
      <c r="I27" s="133"/>
      <c r="J27" s="124"/>
    </row>
    <row r="28" spans="2:10" ht="12.75" customHeight="1" x14ac:dyDescent="0.2">
      <c r="B28" s="127" t="s">
        <v>460</v>
      </c>
      <c r="C28" s="133"/>
      <c r="D28" s="124"/>
      <c r="E28" s="127" t="s">
        <v>461</v>
      </c>
      <c r="F28" s="124"/>
      <c r="G28" s="127" t="s">
        <v>462</v>
      </c>
      <c r="H28" s="124"/>
      <c r="I28" s="87" t="s">
        <v>463</v>
      </c>
      <c r="J28" s="87" t="s">
        <v>464</v>
      </c>
    </row>
    <row r="29" spans="2:10" ht="27.75" customHeight="1" x14ac:dyDescent="0.2">
      <c r="B29" s="132" t="s">
        <v>469</v>
      </c>
      <c r="C29" s="133"/>
      <c r="D29" s="124"/>
      <c r="E29" s="132" t="s">
        <v>470</v>
      </c>
      <c r="F29" s="124"/>
      <c r="G29" s="134">
        <v>97.620999999999995</v>
      </c>
      <c r="H29" s="124"/>
      <c r="I29" s="88" t="s">
        <v>471</v>
      </c>
      <c r="J29" s="88" t="s">
        <v>505</v>
      </c>
    </row>
    <row r="30" spans="2:10" ht="27.75" customHeight="1" x14ac:dyDescent="0.2">
      <c r="B30" s="132" t="s">
        <v>469</v>
      </c>
      <c r="C30" s="133"/>
      <c r="D30" s="124"/>
      <c r="E30" s="132" t="s">
        <v>473</v>
      </c>
      <c r="F30" s="124"/>
      <c r="G30" s="134">
        <v>97.620999999999995</v>
      </c>
      <c r="H30" s="124"/>
      <c r="I30" s="88"/>
      <c r="J30" s="88" t="s">
        <v>474</v>
      </c>
    </row>
    <row r="31" spans="2:10" ht="27.75" customHeight="1" x14ac:dyDescent="0.2">
      <c r="B31" s="132" t="s">
        <v>475</v>
      </c>
      <c r="C31" s="133"/>
      <c r="D31" s="124"/>
      <c r="E31" s="132" t="s">
        <v>470</v>
      </c>
      <c r="F31" s="124"/>
      <c r="G31" s="134">
        <v>16.641999999999999</v>
      </c>
      <c r="H31" s="124"/>
      <c r="I31" s="88" t="s">
        <v>476</v>
      </c>
      <c r="J31" s="88" t="s">
        <v>506</v>
      </c>
    </row>
    <row r="32" spans="2:10" ht="27.75" customHeight="1" x14ac:dyDescent="0.2">
      <c r="B32" s="132" t="s">
        <v>475</v>
      </c>
      <c r="C32" s="133"/>
      <c r="D32" s="124"/>
      <c r="E32" s="132" t="s">
        <v>473</v>
      </c>
      <c r="F32" s="124"/>
      <c r="G32" s="134">
        <v>16.641999999999999</v>
      </c>
      <c r="H32" s="124"/>
      <c r="I32" s="88"/>
      <c r="J32" s="88" t="s">
        <v>474</v>
      </c>
    </row>
    <row r="33" spans="2:10" ht="27.75" customHeight="1" x14ac:dyDescent="0.2">
      <c r="B33" s="132" t="s">
        <v>30</v>
      </c>
      <c r="C33" s="133"/>
      <c r="D33" s="124"/>
      <c r="E33" s="132" t="s">
        <v>470</v>
      </c>
      <c r="F33" s="124"/>
      <c r="G33" s="134">
        <v>13.847</v>
      </c>
      <c r="H33" s="124"/>
      <c r="I33" s="88"/>
      <c r="J33" s="88" t="s">
        <v>474</v>
      </c>
    </row>
    <row r="34" spans="2:10" ht="27.75" customHeight="1" x14ac:dyDescent="0.2">
      <c r="B34" s="132" t="s">
        <v>30</v>
      </c>
      <c r="C34" s="133"/>
      <c r="D34" s="124"/>
      <c r="E34" s="132" t="s">
        <v>473</v>
      </c>
      <c r="F34" s="124"/>
      <c r="G34" s="134">
        <v>13.847</v>
      </c>
      <c r="H34" s="124"/>
      <c r="I34" s="88"/>
      <c r="J34" s="88" t="s">
        <v>474</v>
      </c>
    </row>
    <row r="35" spans="2:10" ht="27.75" customHeight="1" x14ac:dyDescent="0.2">
      <c r="B35" s="132" t="s">
        <v>30</v>
      </c>
      <c r="C35" s="133"/>
      <c r="D35" s="124"/>
      <c r="E35" s="132" t="s">
        <v>478</v>
      </c>
      <c r="F35" s="124"/>
      <c r="G35" s="134">
        <v>0.13100000000000001</v>
      </c>
      <c r="H35" s="124"/>
      <c r="I35" s="88" t="s">
        <v>479</v>
      </c>
      <c r="J35" s="88" t="s">
        <v>507</v>
      </c>
    </row>
    <row r="36" spans="2:10" ht="27.75" customHeight="1" x14ac:dyDescent="0.2">
      <c r="B36" s="132" t="s">
        <v>481</v>
      </c>
      <c r="C36" s="133"/>
      <c r="D36" s="124"/>
      <c r="E36" s="132" t="s">
        <v>470</v>
      </c>
      <c r="F36" s="124"/>
      <c r="G36" s="134">
        <v>0.56499999999999995</v>
      </c>
      <c r="H36" s="124"/>
      <c r="I36" s="88" t="s">
        <v>482</v>
      </c>
      <c r="J36" s="88" t="s">
        <v>508</v>
      </c>
    </row>
    <row r="37" spans="2:10" ht="27.75" customHeight="1" x14ac:dyDescent="0.2">
      <c r="B37" s="132" t="s">
        <v>484</v>
      </c>
      <c r="C37" s="133"/>
      <c r="D37" s="124"/>
      <c r="E37" s="132" t="s">
        <v>470</v>
      </c>
      <c r="F37" s="124"/>
      <c r="G37" s="134">
        <v>13.282</v>
      </c>
      <c r="H37" s="124"/>
      <c r="I37" s="88" t="s">
        <v>482</v>
      </c>
      <c r="J37" s="88" t="s">
        <v>509</v>
      </c>
    </row>
    <row r="38" spans="2:10" ht="27.75" customHeight="1" x14ac:dyDescent="0.2">
      <c r="B38" s="132" t="s">
        <v>489</v>
      </c>
      <c r="C38" s="133"/>
      <c r="D38" s="124"/>
      <c r="E38" s="132" t="s">
        <v>470</v>
      </c>
      <c r="F38" s="124"/>
      <c r="G38" s="134">
        <v>4.2709999999999999</v>
      </c>
      <c r="H38" s="124"/>
      <c r="I38" s="88"/>
      <c r="J38" s="88" t="s">
        <v>474</v>
      </c>
    </row>
    <row r="39" spans="2:10" ht="27.75" customHeight="1" x14ac:dyDescent="0.2">
      <c r="B39" s="132" t="s">
        <v>489</v>
      </c>
      <c r="C39" s="133"/>
      <c r="D39" s="124"/>
      <c r="E39" s="132" t="s">
        <v>473</v>
      </c>
      <c r="F39" s="124"/>
      <c r="G39" s="134">
        <v>4.2709999999999999</v>
      </c>
      <c r="H39" s="124"/>
      <c r="I39" s="88"/>
      <c r="J39" s="88" t="s">
        <v>474</v>
      </c>
    </row>
    <row r="40" spans="2:10" ht="27.75" customHeight="1" x14ac:dyDescent="0.2">
      <c r="B40" s="132" t="s">
        <v>490</v>
      </c>
      <c r="C40" s="133"/>
      <c r="D40" s="124"/>
      <c r="E40" s="132" t="s">
        <v>470</v>
      </c>
      <c r="F40" s="124"/>
      <c r="G40" s="134">
        <v>4.2709999999999999</v>
      </c>
      <c r="H40" s="124"/>
      <c r="I40" s="88" t="s">
        <v>482</v>
      </c>
      <c r="J40" s="88" t="s">
        <v>510</v>
      </c>
    </row>
    <row r="41" spans="2:10" ht="27.75" customHeight="1" x14ac:dyDescent="0.2">
      <c r="B41" s="132" t="s">
        <v>492</v>
      </c>
      <c r="C41" s="133"/>
      <c r="D41" s="124"/>
      <c r="E41" s="132" t="s">
        <v>470</v>
      </c>
      <c r="F41" s="124"/>
      <c r="G41" s="134">
        <v>1.9</v>
      </c>
      <c r="H41" s="124"/>
      <c r="I41" s="88" t="s">
        <v>493</v>
      </c>
      <c r="J41" s="88" t="s">
        <v>511</v>
      </c>
    </row>
    <row r="42" spans="2:10" ht="27.75" customHeight="1" x14ac:dyDescent="0.2">
      <c r="B42" s="132" t="s">
        <v>492</v>
      </c>
      <c r="C42" s="133"/>
      <c r="D42" s="124"/>
      <c r="E42" s="132" t="s">
        <v>473</v>
      </c>
      <c r="F42" s="124"/>
      <c r="G42" s="134">
        <v>1.9</v>
      </c>
      <c r="H42" s="124"/>
      <c r="I42" s="88"/>
      <c r="J42" s="88" t="s">
        <v>474</v>
      </c>
    </row>
    <row r="43" spans="2:10" ht="27.75" customHeight="1" x14ac:dyDescent="0.2">
      <c r="B43" s="132" t="s">
        <v>492</v>
      </c>
      <c r="C43" s="133"/>
      <c r="D43" s="124"/>
      <c r="E43" s="132" t="s">
        <v>478</v>
      </c>
      <c r="F43" s="124"/>
      <c r="G43" s="134">
        <v>1.9</v>
      </c>
      <c r="H43" s="124"/>
      <c r="I43" s="88" t="s">
        <v>479</v>
      </c>
      <c r="J43" s="88" t="s">
        <v>512</v>
      </c>
    </row>
    <row r="44" spans="2:10" ht="27.75" customHeight="1" x14ac:dyDescent="0.2">
      <c r="B44" s="132" t="s">
        <v>513</v>
      </c>
      <c r="C44" s="133"/>
      <c r="D44" s="124"/>
      <c r="E44" s="132" t="s">
        <v>470</v>
      </c>
      <c r="F44" s="124"/>
      <c r="G44" s="134">
        <v>1.198</v>
      </c>
      <c r="H44" s="124"/>
      <c r="I44" s="88" t="s">
        <v>482</v>
      </c>
      <c r="J44" s="88" t="s">
        <v>514</v>
      </c>
    </row>
    <row r="45" spans="2:10" ht="27.75" customHeight="1" x14ac:dyDescent="0.2">
      <c r="B45" s="132" t="s">
        <v>513</v>
      </c>
      <c r="C45" s="133"/>
      <c r="D45" s="124"/>
      <c r="E45" s="132" t="s">
        <v>473</v>
      </c>
      <c r="F45" s="124"/>
      <c r="G45" s="134">
        <v>1.198</v>
      </c>
      <c r="H45" s="124"/>
      <c r="I45" s="88"/>
      <c r="J45" s="88" t="s">
        <v>474</v>
      </c>
    </row>
    <row r="46" spans="2:10" ht="27.75" customHeight="1" x14ac:dyDescent="0.2">
      <c r="B46" s="132" t="s">
        <v>515</v>
      </c>
      <c r="C46" s="133"/>
      <c r="D46" s="124"/>
      <c r="E46" s="132" t="s">
        <v>470</v>
      </c>
      <c r="F46" s="124"/>
      <c r="G46" s="134">
        <v>0.59899999999999998</v>
      </c>
      <c r="H46" s="124"/>
      <c r="I46" s="88"/>
      <c r="J46" s="88" t="s">
        <v>474</v>
      </c>
    </row>
    <row r="47" spans="2:10" ht="27.75" customHeight="1" x14ac:dyDescent="0.2">
      <c r="B47" s="132" t="s">
        <v>516</v>
      </c>
      <c r="C47" s="133"/>
      <c r="D47" s="124"/>
      <c r="E47" s="132" t="s">
        <v>470</v>
      </c>
      <c r="F47" s="124"/>
      <c r="G47" s="134">
        <v>0.24</v>
      </c>
      <c r="H47" s="124"/>
      <c r="I47" s="88"/>
      <c r="J47" s="88" t="s">
        <v>474</v>
      </c>
    </row>
    <row r="48" spans="2:10" ht="27.75" customHeight="1" x14ac:dyDescent="0.2">
      <c r="B48" s="132" t="s">
        <v>517</v>
      </c>
      <c r="C48" s="133"/>
      <c r="D48" s="124"/>
      <c r="E48" s="132" t="s">
        <v>470</v>
      </c>
      <c r="F48" s="124"/>
      <c r="G48" s="134">
        <v>0.35899999999999999</v>
      </c>
      <c r="H48" s="124"/>
      <c r="I48" s="88"/>
      <c r="J48" s="88" t="s">
        <v>474</v>
      </c>
    </row>
    <row r="49" spans="2:11" ht="9.6" customHeight="1" x14ac:dyDescent="0.2"/>
    <row r="50" spans="2:11" ht="15" x14ac:dyDescent="0.2">
      <c r="B50" s="135" t="s">
        <v>496</v>
      </c>
      <c r="C50" s="133"/>
      <c r="D50" s="133"/>
      <c r="E50" s="133"/>
      <c r="F50" s="133"/>
      <c r="G50" s="133"/>
      <c r="H50" s="133"/>
      <c r="I50" s="133"/>
      <c r="J50" s="124"/>
      <c r="K50" s="89"/>
    </row>
    <row r="51" spans="2:11" x14ac:dyDescent="0.2">
      <c r="B51" s="127" t="s">
        <v>460</v>
      </c>
      <c r="C51" s="133"/>
      <c r="D51" s="124"/>
      <c r="E51" s="127" t="s">
        <v>461</v>
      </c>
      <c r="F51" s="124"/>
      <c r="G51" s="127" t="s">
        <v>462</v>
      </c>
      <c r="H51" s="124"/>
      <c r="I51" s="87" t="s">
        <v>463</v>
      </c>
      <c r="J51" s="87" t="s">
        <v>464</v>
      </c>
      <c r="K51" s="90"/>
    </row>
    <row r="52" spans="2:11" ht="27.75" customHeight="1" x14ac:dyDescent="0.2">
      <c r="B52" s="132" t="s">
        <v>465</v>
      </c>
      <c r="C52" s="133"/>
      <c r="D52" s="124"/>
      <c r="E52" s="132" t="e">
        <v>#VALUE!</v>
      </c>
      <c r="F52" s="124"/>
      <c r="G52" s="134"/>
      <c r="H52" s="124"/>
      <c r="I52" s="88"/>
      <c r="J52" s="88"/>
      <c r="K52" s="91"/>
    </row>
    <row r="53" spans="2:11" ht="2.65" customHeight="1" x14ac:dyDescent="0.2"/>
    <row r="54" spans="2:11" ht="18" customHeight="1" x14ac:dyDescent="0.2">
      <c r="B54" s="128" t="s">
        <v>497</v>
      </c>
      <c r="C54" s="126"/>
      <c r="D54" s="126"/>
      <c r="E54" s="126"/>
      <c r="F54" s="126"/>
      <c r="G54" s="126"/>
      <c r="H54" s="126"/>
      <c r="I54" s="126"/>
      <c r="J54" s="126"/>
    </row>
    <row r="55" spans="2:11" ht="8.65" customHeight="1" x14ac:dyDescent="0.2"/>
    <row r="56" spans="2:11" ht="18" customHeight="1" x14ac:dyDescent="0.2">
      <c r="B56" s="135" t="s">
        <v>498</v>
      </c>
      <c r="C56" s="133"/>
      <c r="D56" s="133"/>
      <c r="E56" s="133"/>
      <c r="F56" s="133"/>
      <c r="G56" s="133"/>
      <c r="H56" s="133"/>
      <c r="I56" s="133"/>
      <c r="J56" s="124"/>
    </row>
    <row r="57" spans="2:11" x14ac:dyDescent="0.2">
      <c r="B57" s="127" t="s">
        <v>460</v>
      </c>
      <c r="C57" s="133"/>
      <c r="D57" s="124"/>
      <c r="E57" s="127" t="s">
        <v>461</v>
      </c>
      <c r="F57" s="124"/>
      <c r="G57" s="127" t="s">
        <v>462</v>
      </c>
      <c r="H57" s="124"/>
      <c r="I57" s="87" t="s">
        <v>463</v>
      </c>
      <c r="J57" s="87" t="s">
        <v>464</v>
      </c>
    </row>
    <row r="58" spans="2:11" ht="27.75" customHeight="1" x14ac:dyDescent="0.2">
      <c r="B58" s="132" t="s">
        <v>465</v>
      </c>
      <c r="C58" s="133"/>
      <c r="D58" s="124"/>
      <c r="E58" s="132"/>
      <c r="F58" s="124"/>
      <c r="G58" s="134"/>
      <c r="H58" s="124"/>
      <c r="I58" s="88"/>
      <c r="J58" s="88"/>
    </row>
  </sheetData>
  <mergeCells count="117">
    <mergeCell ref="B54:J54"/>
    <mergeCell ref="B56:J56"/>
    <mergeCell ref="B57:D57"/>
    <mergeCell ref="E57:F57"/>
    <mergeCell ref="G57:H57"/>
    <mergeCell ref="B58:D58"/>
    <mergeCell ref="E58:F58"/>
    <mergeCell ref="G58:H58"/>
    <mergeCell ref="B50:J50"/>
    <mergeCell ref="B51:D51"/>
    <mergeCell ref="E51:F51"/>
    <mergeCell ref="G51:H51"/>
    <mergeCell ref="B52:D52"/>
    <mergeCell ref="E52:F52"/>
    <mergeCell ref="G52:H52"/>
    <mergeCell ref="B47:D47"/>
    <mergeCell ref="E47:F47"/>
    <mergeCell ref="G47:H47"/>
    <mergeCell ref="B48:D48"/>
    <mergeCell ref="E48:F48"/>
    <mergeCell ref="G48:H48"/>
    <mergeCell ref="B45:D45"/>
    <mergeCell ref="E45:F45"/>
    <mergeCell ref="G45:H45"/>
    <mergeCell ref="B46:D46"/>
    <mergeCell ref="E46:F46"/>
    <mergeCell ref="G46:H46"/>
    <mergeCell ref="B43:D43"/>
    <mergeCell ref="E43:F43"/>
    <mergeCell ref="G43:H43"/>
    <mergeCell ref="B44:D44"/>
    <mergeCell ref="E44:F44"/>
    <mergeCell ref="G44:H44"/>
    <mergeCell ref="B41:D41"/>
    <mergeCell ref="E41:F41"/>
    <mergeCell ref="G41:H41"/>
    <mergeCell ref="B42:D42"/>
    <mergeCell ref="E42:F42"/>
    <mergeCell ref="G42:H42"/>
    <mergeCell ref="B39:D39"/>
    <mergeCell ref="E39:F39"/>
    <mergeCell ref="G39:H39"/>
    <mergeCell ref="B40:D40"/>
    <mergeCell ref="E40:F40"/>
    <mergeCell ref="G40:H40"/>
    <mergeCell ref="B37:D37"/>
    <mergeCell ref="E37:F37"/>
    <mergeCell ref="G37:H37"/>
    <mergeCell ref="B38:D38"/>
    <mergeCell ref="E38:F38"/>
    <mergeCell ref="G38:H38"/>
    <mergeCell ref="B35:D35"/>
    <mergeCell ref="E35:F35"/>
    <mergeCell ref="G35:H35"/>
    <mergeCell ref="B36:D36"/>
    <mergeCell ref="E36:F36"/>
    <mergeCell ref="G36:H36"/>
    <mergeCell ref="B33:D33"/>
    <mergeCell ref="E33:F33"/>
    <mergeCell ref="G33:H33"/>
    <mergeCell ref="B34:D34"/>
    <mergeCell ref="E34:F34"/>
    <mergeCell ref="G34:H34"/>
    <mergeCell ref="B31:D31"/>
    <mergeCell ref="E31:F31"/>
    <mergeCell ref="G31:H31"/>
    <mergeCell ref="B32:D32"/>
    <mergeCell ref="E32:F32"/>
    <mergeCell ref="G32:H32"/>
    <mergeCell ref="B29:D29"/>
    <mergeCell ref="E29:F29"/>
    <mergeCell ref="G29:H29"/>
    <mergeCell ref="B30:D30"/>
    <mergeCell ref="E30:F30"/>
    <mergeCell ref="G30:H30"/>
    <mergeCell ref="B25:D25"/>
    <mergeCell ref="E25:F25"/>
    <mergeCell ref="G25:H25"/>
    <mergeCell ref="B27:J27"/>
    <mergeCell ref="B28:D28"/>
    <mergeCell ref="E28:F28"/>
    <mergeCell ref="G28:H28"/>
    <mergeCell ref="B21:D21"/>
    <mergeCell ref="E21:F21"/>
    <mergeCell ref="G21:H21"/>
    <mergeCell ref="B23:J23"/>
    <mergeCell ref="B24:D24"/>
    <mergeCell ref="E24:F24"/>
    <mergeCell ref="G24:H24"/>
    <mergeCell ref="B17:D17"/>
    <mergeCell ref="E17:F17"/>
    <mergeCell ref="G17:H17"/>
    <mergeCell ref="B19:J19"/>
    <mergeCell ref="B20:D20"/>
    <mergeCell ref="E20:F20"/>
    <mergeCell ref="G20:H20"/>
    <mergeCell ref="B12:D12"/>
    <mergeCell ref="E12:I12"/>
    <mergeCell ref="B13:D13"/>
    <mergeCell ref="E13:I13"/>
    <mergeCell ref="B15:J15"/>
    <mergeCell ref="B16:D16"/>
    <mergeCell ref="E16:F16"/>
    <mergeCell ref="G16:H16"/>
    <mergeCell ref="B9:D9"/>
    <mergeCell ref="E9:I9"/>
    <mergeCell ref="B10:D10"/>
    <mergeCell ref="E10:I10"/>
    <mergeCell ref="B11:D11"/>
    <mergeCell ref="E11:I11"/>
    <mergeCell ref="C2:G2"/>
    <mergeCell ref="B5:C5"/>
    <mergeCell ref="G5:H5"/>
    <mergeCell ref="B6:C6"/>
    <mergeCell ref="G6:H6"/>
    <mergeCell ref="B8:D8"/>
    <mergeCell ref="E8:I8"/>
  </mergeCells>
  <pageMargins left="0" right="0" top="0" bottom="0" header="0" footer="0"/>
  <pageSetup paperSize="9" orientation="portrait" horizontalDpi="0" verticalDpi="0"/>
  <headerFooter alignWithMargins="0"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8702-83D8-4A4E-89BC-A5F532708808}">
  <dimension ref="B1:E15"/>
  <sheetViews>
    <sheetView showGridLines="0" workbookViewId="0">
      <pane ySplit="3" topLeftCell="A4" activePane="bottomLeft" state="frozenSplit"/>
      <selection pane="bottomLeft" activeCell="F26" sqref="F26"/>
    </sheetView>
  </sheetViews>
  <sheetFormatPr defaultRowHeight="12.75" x14ac:dyDescent="0.2"/>
  <cols>
    <col min="1" max="1" width="5.140625" style="75" customWidth="1"/>
    <col min="2" max="2" width="1.7109375" style="75" customWidth="1"/>
    <col min="3" max="3" width="25.7109375" style="75" customWidth="1"/>
    <col min="4" max="4" width="27.42578125" style="75" customWidth="1"/>
    <col min="5" max="5" width="5.7109375" style="75" customWidth="1"/>
    <col min="6" max="6" width="40.85546875" style="75" customWidth="1"/>
    <col min="7" max="256" width="9.140625" style="75"/>
    <col min="257" max="257" width="5.140625" style="75" customWidth="1"/>
    <col min="258" max="258" width="1.7109375" style="75" customWidth="1"/>
    <col min="259" max="259" width="25.7109375" style="75" customWidth="1"/>
    <col min="260" max="260" width="27.42578125" style="75" customWidth="1"/>
    <col min="261" max="261" width="5.7109375" style="75" customWidth="1"/>
    <col min="262" max="262" width="40.85546875" style="75" customWidth="1"/>
    <col min="263" max="512" width="9.140625" style="75"/>
    <col min="513" max="513" width="5.140625" style="75" customWidth="1"/>
    <col min="514" max="514" width="1.7109375" style="75" customWidth="1"/>
    <col min="515" max="515" width="25.7109375" style="75" customWidth="1"/>
    <col min="516" max="516" width="27.42578125" style="75" customWidth="1"/>
    <col min="517" max="517" width="5.7109375" style="75" customWidth="1"/>
    <col min="518" max="518" width="40.85546875" style="75" customWidth="1"/>
    <col min="519" max="768" width="9.140625" style="75"/>
    <col min="769" max="769" width="5.140625" style="75" customWidth="1"/>
    <col min="770" max="770" width="1.7109375" style="75" customWidth="1"/>
    <col min="771" max="771" width="25.7109375" style="75" customWidth="1"/>
    <col min="772" max="772" width="27.42578125" style="75" customWidth="1"/>
    <col min="773" max="773" width="5.7109375" style="75" customWidth="1"/>
    <col min="774" max="774" width="40.85546875" style="75" customWidth="1"/>
    <col min="775" max="1024" width="9.140625" style="75"/>
    <col min="1025" max="1025" width="5.140625" style="75" customWidth="1"/>
    <col min="1026" max="1026" width="1.7109375" style="75" customWidth="1"/>
    <col min="1027" max="1027" width="25.7109375" style="75" customWidth="1"/>
    <col min="1028" max="1028" width="27.42578125" style="75" customWidth="1"/>
    <col min="1029" max="1029" width="5.7109375" style="75" customWidth="1"/>
    <col min="1030" max="1030" width="40.85546875" style="75" customWidth="1"/>
    <col min="1031" max="1280" width="9.140625" style="75"/>
    <col min="1281" max="1281" width="5.140625" style="75" customWidth="1"/>
    <col min="1282" max="1282" width="1.7109375" style="75" customWidth="1"/>
    <col min="1283" max="1283" width="25.7109375" style="75" customWidth="1"/>
    <col min="1284" max="1284" width="27.42578125" style="75" customWidth="1"/>
    <col min="1285" max="1285" width="5.7109375" style="75" customWidth="1"/>
    <col min="1286" max="1286" width="40.85546875" style="75" customWidth="1"/>
    <col min="1287" max="1536" width="9.140625" style="75"/>
    <col min="1537" max="1537" width="5.140625" style="75" customWidth="1"/>
    <col min="1538" max="1538" width="1.7109375" style="75" customWidth="1"/>
    <col min="1539" max="1539" width="25.7109375" style="75" customWidth="1"/>
    <col min="1540" max="1540" width="27.42578125" style="75" customWidth="1"/>
    <col min="1541" max="1541" width="5.7109375" style="75" customWidth="1"/>
    <col min="1542" max="1542" width="40.85546875" style="75" customWidth="1"/>
    <col min="1543" max="1792" width="9.140625" style="75"/>
    <col min="1793" max="1793" width="5.140625" style="75" customWidth="1"/>
    <col min="1794" max="1794" width="1.7109375" style="75" customWidth="1"/>
    <col min="1795" max="1795" width="25.7109375" style="75" customWidth="1"/>
    <col min="1796" max="1796" width="27.42578125" style="75" customWidth="1"/>
    <col min="1797" max="1797" width="5.7109375" style="75" customWidth="1"/>
    <col min="1798" max="1798" width="40.85546875" style="75" customWidth="1"/>
    <col min="1799" max="2048" width="9.140625" style="75"/>
    <col min="2049" max="2049" width="5.140625" style="75" customWidth="1"/>
    <col min="2050" max="2050" width="1.7109375" style="75" customWidth="1"/>
    <col min="2051" max="2051" width="25.7109375" style="75" customWidth="1"/>
    <col min="2052" max="2052" width="27.42578125" style="75" customWidth="1"/>
    <col min="2053" max="2053" width="5.7109375" style="75" customWidth="1"/>
    <col min="2054" max="2054" width="40.85546875" style="75" customWidth="1"/>
    <col min="2055" max="2304" width="9.140625" style="75"/>
    <col min="2305" max="2305" width="5.140625" style="75" customWidth="1"/>
    <col min="2306" max="2306" width="1.7109375" style="75" customWidth="1"/>
    <col min="2307" max="2307" width="25.7109375" style="75" customWidth="1"/>
    <col min="2308" max="2308" width="27.42578125" style="75" customWidth="1"/>
    <col min="2309" max="2309" width="5.7109375" style="75" customWidth="1"/>
    <col min="2310" max="2310" width="40.85546875" style="75" customWidth="1"/>
    <col min="2311" max="2560" width="9.140625" style="75"/>
    <col min="2561" max="2561" width="5.140625" style="75" customWidth="1"/>
    <col min="2562" max="2562" width="1.7109375" style="75" customWidth="1"/>
    <col min="2563" max="2563" width="25.7109375" style="75" customWidth="1"/>
    <col min="2564" max="2564" width="27.42578125" style="75" customWidth="1"/>
    <col min="2565" max="2565" width="5.7109375" style="75" customWidth="1"/>
    <col min="2566" max="2566" width="40.85546875" style="75" customWidth="1"/>
    <col min="2567" max="2816" width="9.140625" style="75"/>
    <col min="2817" max="2817" width="5.140625" style="75" customWidth="1"/>
    <col min="2818" max="2818" width="1.7109375" style="75" customWidth="1"/>
    <col min="2819" max="2819" width="25.7109375" style="75" customWidth="1"/>
    <col min="2820" max="2820" width="27.42578125" style="75" customWidth="1"/>
    <col min="2821" max="2821" width="5.7109375" style="75" customWidth="1"/>
    <col min="2822" max="2822" width="40.85546875" style="75" customWidth="1"/>
    <col min="2823" max="3072" width="9.140625" style="75"/>
    <col min="3073" max="3073" width="5.140625" style="75" customWidth="1"/>
    <col min="3074" max="3074" width="1.7109375" style="75" customWidth="1"/>
    <col min="3075" max="3075" width="25.7109375" style="75" customWidth="1"/>
    <col min="3076" max="3076" width="27.42578125" style="75" customWidth="1"/>
    <col min="3077" max="3077" width="5.7109375" style="75" customWidth="1"/>
    <col min="3078" max="3078" width="40.85546875" style="75" customWidth="1"/>
    <col min="3079" max="3328" width="9.140625" style="75"/>
    <col min="3329" max="3329" width="5.140625" style="75" customWidth="1"/>
    <col min="3330" max="3330" width="1.7109375" style="75" customWidth="1"/>
    <col min="3331" max="3331" width="25.7109375" style="75" customWidth="1"/>
    <col min="3332" max="3332" width="27.42578125" style="75" customWidth="1"/>
    <col min="3333" max="3333" width="5.7109375" style="75" customWidth="1"/>
    <col min="3334" max="3334" width="40.85546875" style="75" customWidth="1"/>
    <col min="3335" max="3584" width="9.140625" style="75"/>
    <col min="3585" max="3585" width="5.140625" style="75" customWidth="1"/>
    <col min="3586" max="3586" width="1.7109375" style="75" customWidth="1"/>
    <col min="3587" max="3587" width="25.7109375" style="75" customWidth="1"/>
    <col min="3588" max="3588" width="27.42578125" style="75" customWidth="1"/>
    <col min="3589" max="3589" width="5.7109375" style="75" customWidth="1"/>
    <col min="3590" max="3590" width="40.85546875" style="75" customWidth="1"/>
    <col min="3591" max="3840" width="9.140625" style="75"/>
    <col min="3841" max="3841" width="5.140625" style="75" customWidth="1"/>
    <col min="3842" max="3842" width="1.7109375" style="75" customWidth="1"/>
    <col min="3843" max="3843" width="25.7109375" style="75" customWidth="1"/>
    <col min="3844" max="3844" width="27.42578125" style="75" customWidth="1"/>
    <col min="3845" max="3845" width="5.7109375" style="75" customWidth="1"/>
    <col min="3846" max="3846" width="40.85546875" style="75" customWidth="1"/>
    <col min="3847" max="4096" width="9.140625" style="75"/>
    <col min="4097" max="4097" width="5.140625" style="75" customWidth="1"/>
    <col min="4098" max="4098" width="1.7109375" style="75" customWidth="1"/>
    <col min="4099" max="4099" width="25.7109375" style="75" customWidth="1"/>
    <col min="4100" max="4100" width="27.42578125" style="75" customWidth="1"/>
    <col min="4101" max="4101" width="5.7109375" style="75" customWidth="1"/>
    <col min="4102" max="4102" width="40.85546875" style="75" customWidth="1"/>
    <col min="4103" max="4352" width="9.140625" style="75"/>
    <col min="4353" max="4353" width="5.140625" style="75" customWidth="1"/>
    <col min="4354" max="4354" width="1.7109375" style="75" customWidth="1"/>
    <col min="4355" max="4355" width="25.7109375" style="75" customWidth="1"/>
    <col min="4356" max="4356" width="27.42578125" style="75" customWidth="1"/>
    <col min="4357" max="4357" width="5.7109375" style="75" customWidth="1"/>
    <col min="4358" max="4358" width="40.85546875" style="75" customWidth="1"/>
    <col min="4359" max="4608" width="9.140625" style="75"/>
    <col min="4609" max="4609" width="5.140625" style="75" customWidth="1"/>
    <col min="4610" max="4610" width="1.7109375" style="75" customWidth="1"/>
    <col min="4611" max="4611" width="25.7109375" style="75" customWidth="1"/>
    <col min="4612" max="4612" width="27.42578125" style="75" customWidth="1"/>
    <col min="4613" max="4613" width="5.7109375" style="75" customWidth="1"/>
    <col min="4614" max="4614" width="40.85546875" style="75" customWidth="1"/>
    <col min="4615" max="4864" width="9.140625" style="75"/>
    <col min="4865" max="4865" width="5.140625" style="75" customWidth="1"/>
    <col min="4866" max="4866" width="1.7109375" style="75" customWidth="1"/>
    <col min="4867" max="4867" width="25.7109375" style="75" customWidth="1"/>
    <col min="4868" max="4868" width="27.42578125" style="75" customWidth="1"/>
    <col min="4869" max="4869" width="5.7109375" style="75" customWidth="1"/>
    <col min="4870" max="4870" width="40.85546875" style="75" customWidth="1"/>
    <col min="4871" max="5120" width="9.140625" style="75"/>
    <col min="5121" max="5121" width="5.140625" style="75" customWidth="1"/>
    <col min="5122" max="5122" width="1.7109375" style="75" customWidth="1"/>
    <col min="5123" max="5123" width="25.7109375" style="75" customWidth="1"/>
    <col min="5124" max="5124" width="27.42578125" style="75" customWidth="1"/>
    <col min="5125" max="5125" width="5.7109375" style="75" customWidth="1"/>
    <col min="5126" max="5126" width="40.85546875" style="75" customWidth="1"/>
    <col min="5127" max="5376" width="9.140625" style="75"/>
    <col min="5377" max="5377" width="5.140625" style="75" customWidth="1"/>
    <col min="5378" max="5378" width="1.7109375" style="75" customWidth="1"/>
    <col min="5379" max="5379" width="25.7109375" style="75" customWidth="1"/>
    <col min="5380" max="5380" width="27.42578125" style="75" customWidth="1"/>
    <col min="5381" max="5381" width="5.7109375" style="75" customWidth="1"/>
    <col min="5382" max="5382" width="40.85546875" style="75" customWidth="1"/>
    <col min="5383" max="5632" width="9.140625" style="75"/>
    <col min="5633" max="5633" width="5.140625" style="75" customWidth="1"/>
    <col min="5634" max="5634" width="1.7109375" style="75" customWidth="1"/>
    <col min="5635" max="5635" width="25.7109375" style="75" customWidth="1"/>
    <col min="5636" max="5636" width="27.42578125" style="75" customWidth="1"/>
    <col min="5637" max="5637" width="5.7109375" style="75" customWidth="1"/>
    <col min="5638" max="5638" width="40.85546875" style="75" customWidth="1"/>
    <col min="5639" max="5888" width="9.140625" style="75"/>
    <col min="5889" max="5889" width="5.140625" style="75" customWidth="1"/>
    <col min="5890" max="5890" width="1.7109375" style="75" customWidth="1"/>
    <col min="5891" max="5891" width="25.7109375" style="75" customWidth="1"/>
    <col min="5892" max="5892" width="27.42578125" style="75" customWidth="1"/>
    <col min="5893" max="5893" width="5.7109375" style="75" customWidth="1"/>
    <col min="5894" max="5894" width="40.85546875" style="75" customWidth="1"/>
    <col min="5895" max="6144" width="9.140625" style="75"/>
    <col min="6145" max="6145" width="5.140625" style="75" customWidth="1"/>
    <col min="6146" max="6146" width="1.7109375" style="75" customWidth="1"/>
    <col min="6147" max="6147" width="25.7109375" style="75" customWidth="1"/>
    <col min="6148" max="6148" width="27.42578125" style="75" customWidth="1"/>
    <col min="6149" max="6149" width="5.7109375" style="75" customWidth="1"/>
    <col min="6150" max="6150" width="40.85546875" style="75" customWidth="1"/>
    <col min="6151" max="6400" width="9.140625" style="75"/>
    <col min="6401" max="6401" width="5.140625" style="75" customWidth="1"/>
    <col min="6402" max="6402" width="1.7109375" style="75" customWidth="1"/>
    <col min="6403" max="6403" width="25.7109375" style="75" customWidth="1"/>
    <col min="6404" max="6404" width="27.42578125" style="75" customWidth="1"/>
    <col min="6405" max="6405" width="5.7109375" style="75" customWidth="1"/>
    <col min="6406" max="6406" width="40.85546875" style="75" customWidth="1"/>
    <col min="6407" max="6656" width="9.140625" style="75"/>
    <col min="6657" max="6657" width="5.140625" style="75" customWidth="1"/>
    <col min="6658" max="6658" width="1.7109375" style="75" customWidth="1"/>
    <col min="6659" max="6659" width="25.7109375" style="75" customWidth="1"/>
    <col min="6660" max="6660" width="27.42578125" style="75" customWidth="1"/>
    <col min="6661" max="6661" width="5.7109375" style="75" customWidth="1"/>
    <col min="6662" max="6662" width="40.85546875" style="75" customWidth="1"/>
    <col min="6663" max="6912" width="9.140625" style="75"/>
    <col min="6913" max="6913" width="5.140625" style="75" customWidth="1"/>
    <col min="6914" max="6914" width="1.7109375" style="75" customWidth="1"/>
    <col min="6915" max="6915" width="25.7109375" style="75" customWidth="1"/>
    <col min="6916" max="6916" width="27.42578125" style="75" customWidth="1"/>
    <col min="6917" max="6917" width="5.7109375" style="75" customWidth="1"/>
    <col min="6918" max="6918" width="40.85546875" style="75" customWidth="1"/>
    <col min="6919" max="7168" width="9.140625" style="75"/>
    <col min="7169" max="7169" width="5.140625" style="75" customWidth="1"/>
    <col min="7170" max="7170" width="1.7109375" style="75" customWidth="1"/>
    <col min="7171" max="7171" width="25.7109375" style="75" customWidth="1"/>
    <col min="7172" max="7172" width="27.42578125" style="75" customWidth="1"/>
    <col min="7173" max="7173" width="5.7109375" style="75" customWidth="1"/>
    <col min="7174" max="7174" width="40.85546875" style="75" customWidth="1"/>
    <col min="7175" max="7424" width="9.140625" style="75"/>
    <col min="7425" max="7425" width="5.140625" style="75" customWidth="1"/>
    <col min="7426" max="7426" width="1.7109375" style="75" customWidth="1"/>
    <col min="7427" max="7427" width="25.7109375" style="75" customWidth="1"/>
    <col min="7428" max="7428" width="27.42578125" style="75" customWidth="1"/>
    <col min="7429" max="7429" width="5.7109375" style="75" customWidth="1"/>
    <col min="7430" max="7430" width="40.85546875" style="75" customWidth="1"/>
    <col min="7431" max="7680" width="9.140625" style="75"/>
    <col min="7681" max="7681" width="5.140625" style="75" customWidth="1"/>
    <col min="7682" max="7682" width="1.7109375" style="75" customWidth="1"/>
    <col min="7683" max="7683" width="25.7109375" style="75" customWidth="1"/>
    <col min="7684" max="7684" width="27.42578125" style="75" customWidth="1"/>
    <col min="7685" max="7685" width="5.7109375" style="75" customWidth="1"/>
    <col min="7686" max="7686" width="40.85546875" style="75" customWidth="1"/>
    <col min="7687" max="7936" width="9.140625" style="75"/>
    <col min="7937" max="7937" width="5.140625" style="75" customWidth="1"/>
    <col min="7938" max="7938" width="1.7109375" style="75" customWidth="1"/>
    <col min="7939" max="7939" width="25.7109375" style="75" customWidth="1"/>
    <col min="7940" max="7940" width="27.42578125" style="75" customWidth="1"/>
    <col min="7941" max="7941" width="5.7109375" style="75" customWidth="1"/>
    <col min="7942" max="7942" width="40.85546875" style="75" customWidth="1"/>
    <col min="7943" max="8192" width="9.140625" style="75"/>
    <col min="8193" max="8193" width="5.140625" style="75" customWidth="1"/>
    <col min="8194" max="8194" width="1.7109375" style="75" customWidth="1"/>
    <col min="8195" max="8195" width="25.7109375" style="75" customWidth="1"/>
    <col min="8196" max="8196" width="27.42578125" style="75" customWidth="1"/>
    <col min="8197" max="8197" width="5.7109375" style="75" customWidth="1"/>
    <col min="8198" max="8198" width="40.85546875" style="75" customWidth="1"/>
    <col min="8199" max="8448" width="9.140625" style="75"/>
    <col min="8449" max="8449" width="5.140625" style="75" customWidth="1"/>
    <col min="8450" max="8450" width="1.7109375" style="75" customWidth="1"/>
    <col min="8451" max="8451" width="25.7109375" style="75" customWidth="1"/>
    <col min="8452" max="8452" width="27.42578125" style="75" customWidth="1"/>
    <col min="8453" max="8453" width="5.7109375" style="75" customWidth="1"/>
    <col min="8454" max="8454" width="40.85546875" style="75" customWidth="1"/>
    <col min="8455" max="8704" width="9.140625" style="75"/>
    <col min="8705" max="8705" width="5.140625" style="75" customWidth="1"/>
    <col min="8706" max="8706" width="1.7109375" style="75" customWidth="1"/>
    <col min="8707" max="8707" width="25.7109375" style="75" customWidth="1"/>
    <col min="8708" max="8708" width="27.42578125" style="75" customWidth="1"/>
    <col min="8709" max="8709" width="5.7109375" style="75" customWidth="1"/>
    <col min="8710" max="8710" width="40.85546875" style="75" customWidth="1"/>
    <col min="8711" max="8960" width="9.140625" style="75"/>
    <col min="8961" max="8961" width="5.140625" style="75" customWidth="1"/>
    <col min="8962" max="8962" width="1.7109375" style="75" customWidth="1"/>
    <col min="8963" max="8963" width="25.7109375" style="75" customWidth="1"/>
    <col min="8964" max="8964" width="27.42578125" style="75" customWidth="1"/>
    <col min="8965" max="8965" width="5.7109375" style="75" customWidth="1"/>
    <col min="8966" max="8966" width="40.85546875" style="75" customWidth="1"/>
    <col min="8967" max="9216" width="9.140625" style="75"/>
    <col min="9217" max="9217" width="5.140625" style="75" customWidth="1"/>
    <col min="9218" max="9218" width="1.7109375" style="75" customWidth="1"/>
    <col min="9219" max="9219" width="25.7109375" style="75" customWidth="1"/>
    <col min="9220" max="9220" width="27.42578125" style="75" customWidth="1"/>
    <col min="9221" max="9221" width="5.7109375" style="75" customWidth="1"/>
    <col min="9222" max="9222" width="40.85546875" style="75" customWidth="1"/>
    <col min="9223" max="9472" width="9.140625" style="75"/>
    <col min="9473" max="9473" width="5.140625" style="75" customWidth="1"/>
    <col min="9474" max="9474" width="1.7109375" style="75" customWidth="1"/>
    <col min="9475" max="9475" width="25.7109375" style="75" customWidth="1"/>
    <col min="9476" max="9476" width="27.42578125" style="75" customWidth="1"/>
    <col min="9477" max="9477" width="5.7109375" style="75" customWidth="1"/>
    <col min="9478" max="9478" width="40.85546875" style="75" customWidth="1"/>
    <col min="9479" max="9728" width="9.140625" style="75"/>
    <col min="9729" max="9729" width="5.140625" style="75" customWidth="1"/>
    <col min="9730" max="9730" width="1.7109375" style="75" customWidth="1"/>
    <col min="9731" max="9731" width="25.7109375" style="75" customWidth="1"/>
    <col min="9732" max="9732" width="27.42578125" style="75" customWidth="1"/>
    <col min="9733" max="9733" width="5.7109375" style="75" customWidth="1"/>
    <col min="9734" max="9734" width="40.85546875" style="75" customWidth="1"/>
    <col min="9735" max="9984" width="9.140625" style="75"/>
    <col min="9985" max="9985" width="5.140625" style="75" customWidth="1"/>
    <col min="9986" max="9986" width="1.7109375" style="75" customWidth="1"/>
    <col min="9987" max="9987" width="25.7109375" style="75" customWidth="1"/>
    <col min="9988" max="9988" width="27.42578125" style="75" customWidth="1"/>
    <col min="9989" max="9989" width="5.7109375" style="75" customWidth="1"/>
    <col min="9990" max="9990" width="40.85546875" style="75" customWidth="1"/>
    <col min="9991" max="10240" width="9.140625" style="75"/>
    <col min="10241" max="10241" width="5.140625" style="75" customWidth="1"/>
    <col min="10242" max="10242" width="1.7109375" style="75" customWidth="1"/>
    <col min="10243" max="10243" width="25.7109375" style="75" customWidth="1"/>
    <col min="10244" max="10244" width="27.42578125" style="75" customWidth="1"/>
    <col min="10245" max="10245" width="5.7109375" style="75" customWidth="1"/>
    <col min="10246" max="10246" width="40.85546875" style="75" customWidth="1"/>
    <col min="10247" max="10496" width="9.140625" style="75"/>
    <col min="10497" max="10497" width="5.140625" style="75" customWidth="1"/>
    <col min="10498" max="10498" width="1.7109375" style="75" customWidth="1"/>
    <col min="10499" max="10499" width="25.7109375" style="75" customWidth="1"/>
    <col min="10500" max="10500" width="27.42578125" style="75" customWidth="1"/>
    <col min="10501" max="10501" width="5.7109375" style="75" customWidth="1"/>
    <col min="10502" max="10502" width="40.85546875" style="75" customWidth="1"/>
    <col min="10503" max="10752" width="9.140625" style="75"/>
    <col min="10753" max="10753" width="5.140625" style="75" customWidth="1"/>
    <col min="10754" max="10754" width="1.7109375" style="75" customWidth="1"/>
    <col min="10755" max="10755" width="25.7109375" style="75" customWidth="1"/>
    <col min="10756" max="10756" width="27.42578125" style="75" customWidth="1"/>
    <col min="10757" max="10757" width="5.7109375" style="75" customWidth="1"/>
    <col min="10758" max="10758" width="40.85546875" style="75" customWidth="1"/>
    <col min="10759" max="11008" width="9.140625" style="75"/>
    <col min="11009" max="11009" width="5.140625" style="75" customWidth="1"/>
    <col min="11010" max="11010" width="1.7109375" style="75" customWidth="1"/>
    <col min="11011" max="11011" width="25.7109375" style="75" customWidth="1"/>
    <col min="11012" max="11012" width="27.42578125" style="75" customWidth="1"/>
    <col min="11013" max="11013" width="5.7109375" style="75" customWidth="1"/>
    <col min="11014" max="11014" width="40.85546875" style="75" customWidth="1"/>
    <col min="11015" max="11264" width="9.140625" style="75"/>
    <col min="11265" max="11265" width="5.140625" style="75" customWidth="1"/>
    <col min="11266" max="11266" width="1.7109375" style="75" customWidth="1"/>
    <col min="11267" max="11267" width="25.7109375" style="75" customWidth="1"/>
    <col min="11268" max="11268" width="27.42578125" style="75" customWidth="1"/>
    <col min="11269" max="11269" width="5.7109375" style="75" customWidth="1"/>
    <col min="11270" max="11270" width="40.85546875" style="75" customWidth="1"/>
    <col min="11271" max="11520" width="9.140625" style="75"/>
    <col min="11521" max="11521" width="5.140625" style="75" customWidth="1"/>
    <col min="11522" max="11522" width="1.7109375" style="75" customWidth="1"/>
    <col min="11523" max="11523" width="25.7109375" style="75" customWidth="1"/>
    <col min="11524" max="11524" width="27.42578125" style="75" customWidth="1"/>
    <col min="11525" max="11525" width="5.7109375" style="75" customWidth="1"/>
    <col min="11526" max="11526" width="40.85546875" style="75" customWidth="1"/>
    <col min="11527" max="11776" width="9.140625" style="75"/>
    <col min="11777" max="11777" width="5.140625" style="75" customWidth="1"/>
    <col min="11778" max="11778" width="1.7109375" style="75" customWidth="1"/>
    <col min="11779" max="11779" width="25.7109375" style="75" customWidth="1"/>
    <col min="11780" max="11780" width="27.42578125" style="75" customWidth="1"/>
    <col min="11781" max="11781" width="5.7109375" style="75" customWidth="1"/>
    <col min="11782" max="11782" width="40.85546875" style="75" customWidth="1"/>
    <col min="11783" max="12032" width="9.140625" style="75"/>
    <col min="12033" max="12033" width="5.140625" style="75" customWidth="1"/>
    <col min="12034" max="12034" width="1.7109375" style="75" customWidth="1"/>
    <col min="12035" max="12035" width="25.7109375" style="75" customWidth="1"/>
    <col min="12036" max="12036" width="27.42578125" style="75" customWidth="1"/>
    <col min="12037" max="12037" width="5.7109375" style="75" customWidth="1"/>
    <col min="12038" max="12038" width="40.85546875" style="75" customWidth="1"/>
    <col min="12039" max="12288" width="9.140625" style="75"/>
    <col min="12289" max="12289" width="5.140625" style="75" customWidth="1"/>
    <col min="12290" max="12290" width="1.7109375" style="75" customWidth="1"/>
    <col min="12291" max="12291" width="25.7109375" style="75" customWidth="1"/>
    <col min="12292" max="12292" width="27.42578125" style="75" customWidth="1"/>
    <col min="12293" max="12293" width="5.7109375" style="75" customWidth="1"/>
    <col min="12294" max="12294" width="40.85546875" style="75" customWidth="1"/>
    <col min="12295" max="12544" width="9.140625" style="75"/>
    <col min="12545" max="12545" width="5.140625" style="75" customWidth="1"/>
    <col min="12546" max="12546" width="1.7109375" style="75" customWidth="1"/>
    <col min="12547" max="12547" width="25.7109375" style="75" customWidth="1"/>
    <col min="12548" max="12548" width="27.42578125" style="75" customWidth="1"/>
    <col min="12549" max="12549" width="5.7109375" style="75" customWidth="1"/>
    <col min="12550" max="12550" width="40.85546875" style="75" customWidth="1"/>
    <col min="12551" max="12800" width="9.140625" style="75"/>
    <col min="12801" max="12801" width="5.140625" style="75" customWidth="1"/>
    <col min="12802" max="12802" width="1.7109375" style="75" customWidth="1"/>
    <col min="12803" max="12803" width="25.7109375" style="75" customWidth="1"/>
    <col min="12804" max="12804" width="27.42578125" style="75" customWidth="1"/>
    <col min="12805" max="12805" width="5.7109375" style="75" customWidth="1"/>
    <col min="12806" max="12806" width="40.85546875" style="75" customWidth="1"/>
    <col min="12807" max="13056" width="9.140625" style="75"/>
    <col min="13057" max="13057" width="5.140625" style="75" customWidth="1"/>
    <col min="13058" max="13058" width="1.7109375" style="75" customWidth="1"/>
    <col min="13059" max="13059" width="25.7109375" style="75" customWidth="1"/>
    <col min="13060" max="13060" width="27.42578125" style="75" customWidth="1"/>
    <col min="13061" max="13061" width="5.7109375" style="75" customWidth="1"/>
    <col min="13062" max="13062" width="40.85546875" style="75" customWidth="1"/>
    <col min="13063" max="13312" width="9.140625" style="75"/>
    <col min="13313" max="13313" width="5.140625" style="75" customWidth="1"/>
    <col min="13314" max="13314" width="1.7109375" style="75" customWidth="1"/>
    <col min="13315" max="13315" width="25.7109375" style="75" customWidth="1"/>
    <col min="13316" max="13316" width="27.42578125" style="75" customWidth="1"/>
    <col min="13317" max="13317" width="5.7109375" style="75" customWidth="1"/>
    <col min="13318" max="13318" width="40.85546875" style="75" customWidth="1"/>
    <col min="13319" max="13568" width="9.140625" style="75"/>
    <col min="13569" max="13569" width="5.140625" style="75" customWidth="1"/>
    <col min="13570" max="13570" width="1.7109375" style="75" customWidth="1"/>
    <col min="13571" max="13571" width="25.7109375" style="75" customWidth="1"/>
    <col min="13572" max="13572" width="27.42578125" style="75" customWidth="1"/>
    <col min="13573" max="13573" width="5.7109375" style="75" customWidth="1"/>
    <col min="13574" max="13574" width="40.85546875" style="75" customWidth="1"/>
    <col min="13575" max="13824" width="9.140625" style="75"/>
    <col min="13825" max="13825" width="5.140625" style="75" customWidth="1"/>
    <col min="13826" max="13826" width="1.7109375" style="75" customWidth="1"/>
    <col min="13827" max="13827" width="25.7109375" style="75" customWidth="1"/>
    <col min="13828" max="13828" width="27.42578125" style="75" customWidth="1"/>
    <col min="13829" max="13829" width="5.7109375" style="75" customWidth="1"/>
    <col min="13830" max="13830" width="40.85546875" style="75" customWidth="1"/>
    <col min="13831" max="14080" width="9.140625" style="75"/>
    <col min="14081" max="14081" width="5.140625" style="75" customWidth="1"/>
    <col min="14082" max="14082" width="1.7109375" style="75" customWidth="1"/>
    <col min="14083" max="14083" width="25.7109375" style="75" customWidth="1"/>
    <col min="14084" max="14084" width="27.42578125" style="75" customWidth="1"/>
    <col min="14085" max="14085" width="5.7109375" style="75" customWidth="1"/>
    <col min="14086" max="14086" width="40.85546875" style="75" customWidth="1"/>
    <col min="14087" max="14336" width="9.140625" style="75"/>
    <col min="14337" max="14337" width="5.140625" style="75" customWidth="1"/>
    <col min="14338" max="14338" width="1.7109375" style="75" customWidth="1"/>
    <col min="14339" max="14339" width="25.7109375" style="75" customWidth="1"/>
    <col min="14340" max="14340" width="27.42578125" style="75" customWidth="1"/>
    <col min="14341" max="14341" width="5.7109375" style="75" customWidth="1"/>
    <col min="14342" max="14342" width="40.85546875" style="75" customWidth="1"/>
    <col min="14343" max="14592" width="9.140625" style="75"/>
    <col min="14593" max="14593" width="5.140625" style="75" customWidth="1"/>
    <col min="14594" max="14594" width="1.7109375" style="75" customWidth="1"/>
    <col min="14595" max="14595" width="25.7109375" style="75" customWidth="1"/>
    <col min="14596" max="14596" width="27.42578125" style="75" customWidth="1"/>
    <col min="14597" max="14597" width="5.7109375" style="75" customWidth="1"/>
    <col min="14598" max="14598" width="40.85546875" style="75" customWidth="1"/>
    <col min="14599" max="14848" width="9.140625" style="75"/>
    <col min="14849" max="14849" width="5.140625" style="75" customWidth="1"/>
    <col min="14850" max="14850" width="1.7109375" style="75" customWidth="1"/>
    <col min="14851" max="14851" width="25.7109375" style="75" customWidth="1"/>
    <col min="14852" max="14852" width="27.42578125" style="75" customWidth="1"/>
    <col min="14853" max="14853" width="5.7109375" style="75" customWidth="1"/>
    <col min="14854" max="14854" width="40.85546875" style="75" customWidth="1"/>
    <col min="14855" max="15104" width="9.140625" style="75"/>
    <col min="15105" max="15105" width="5.140625" style="75" customWidth="1"/>
    <col min="15106" max="15106" width="1.7109375" style="75" customWidth="1"/>
    <col min="15107" max="15107" width="25.7109375" style="75" customWidth="1"/>
    <col min="15108" max="15108" width="27.42578125" style="75" customWidth="1"/>
    <col min="15109" max="15109" width="5.7109375" style="75" customWidth="1"/>
    <col min="15110" max="15110" width="40.85546875" style="75" customWidth="1"/>
    <col min="15111" max="15360" width="9.140625" style="75"/>
    <col min="15361" max="15361" width="5.140625" style="75" customWidth="1"/>
    <col min="15362" max="15362" width="1.7109375" style="75" customWidth="1"/>
    <col min="15363" max="15363" width="25.7109375" style="75" customWidth="1"/>
    <col min="15364" max="15364" width="27.42578125" style="75" customWidth="1"/>
    <col min="15365" max="15365" width="5.7109375" style="75" customWidth="1"/>
    <col min="15366" max="15366" width="40.85546875" style="75" customWidth="1"/>
    <col min="15367" max="15616" width="9.140625" style="75"/>
    <col min="15617" max="15617" width="5.140625" style="75" customWidth="1"/>
    <col min="15618" max="15618" width="1.7109375" style="75" customWidth="1"/>
    <col min="15619" max="15619" width="25.7109375" style="75" customWidth="1"/>
    <col min="15620" max="15620" width="27.42578125" style="75" customWidth="1"/>
    <col min="15621" max="15621" width="5.7109375" style="75" customWidth="1"/>
    <col min="15622" max="15622" width="40.85546875" style="75" customWidth="1"/>
    <col min="15623" max="15872" width="9.140625" style="75"/>
    <col min="15873" max="15873" width="5.140625" style="75" customWidth="1"/>
    <col min="15874" max="15874" width="1.7109375" style="75" customWidth="1"/>
    <col min="15875" max="15875" width="25.7109375" style="75" customWidth="1"/>
    <col min="15876" max="15876" width="27.42578125" style="75" customWidth="1"/>
    <col min="15877" max="15877" width="5.7109375" style="75" customWidth="1"/>
    <col min="15878" max="15878" width="40.85546875" style="75" customWidth="1"/>
    <col min="15879" max="16128" width="9.140625" style="75"/>
    <col min="16129" max="16129" width="5.140625" style="75" customWidth="1"/>
    <col min="16130" max="16130" width="1.7109375" style="75" customWidth="1"/>
    <col min="16131" max="16131" width="25.7109375" style="75" customWidth="1"/>
    <col min="16132" max="16132" width="27.42578125" style="75" customWidth="1"/>
    <col min="16133" max="16133" width="5.7109375" style="75" customWidth="1"/>
    <col min="16134" max="16134" width="40.85546875" style="75" customWidth="1"/>
    <col min="16135" max="16384" width="9.140625" style="75"/>
  </cols>
  <sheetData>
    <row r="1" spans="2:5" ht="46.35" customHeight="1" x14ac:dyDescent="0.2"/>
    <row r="2" spans="2:5" ht="18" customHeight="1" x14ac:dyDescent="0.2">
      <c r="C2" s="137" t="s">
        <v>438</v>
      </c>
      <c r="D2" s="126"/>
      <c r="E2" s="126"/>
    </row>
    <row r="3" spans="2:5" ht="21.95" customHeight="1" x14ac:dyDescent="0.2"/>
    <row r="4" spans="2:5" x14ac:dyDescent="0.2">
      <c r="B4" s="138" t="s">
        <v>499</v>
      </c>
      <c r="C4" s="124"/>
      <c r="D4" s="78" t="s">
        <v>500</v>
      </c>
    </row>
    <row r="5" spans="2:5" x14ac:dyDescent="0.2">
      <c r="B5" s="136" t="s">
        <v>469</v>
      </c>
      <c r="C5" s="124"/>
      <c r="D5" s="83">
        <v>2244.56</v>
      </c>
    </row>
    <row r="6" spans="2:5" x14ac:dyDescent="0.2">
      <c r="B6" s="136" t="s">
        <v>475</v>
      </c>
      <c r="C6" s="124"/>
      <c r="D6" s="83">
        <v>884.34</v>
      </c>
    </row>
    <row r="7" spans="2:5" x14ac:dyDescent="0.2">
      <c r="B7" s="136" t="s">
        <v>501</v>
      </c>
      <c r="C7" s="124"/>
      <c r="D7" s="83">
        <v>0.25</v>
      </c>
    </row>
    <row r="8" spans="2:5" x14ac:dyDescent="0.2">
      <c r="B8" s="136" t="s">
        <v>481</v>
      </c>
      <c r="C8" s="124"/>
      <c r="D8" s="83">
        <v>81.67</v>
      </c>
    </row>
    <row r="9" spans="2:5" x14ac:dyDescent="0.2">
      <c r="B9" s="136" t="s">
        <v>484</v>
      </c>
      <c r="C9" s="124"/>
      <c r="D9" s="83">
        <v>1494.01</v>
      </c>
    </row>
    <row r="10" spans="2:5" x14ac:dyDescent="0.2">
      <c r="B10" s="136" t="s">
        <v>486</v>
      </c>
      <c r="C10" s="124"/>
      <c r="D10" s="83">
        <v>1295.83</v>
      </c>
    </row>
    <row r="11" spans="2:5" x14ac:dyDescent="0.2">
      <c r="B11" s="136" t="s">
        <v>502</v>
      </c>
      <c r="C11" s="124"/>
      <c r="D11" s="83">
        <v>0</v>
      </c>
    </row>
    <row r="12" spans="2:5" x14ac:dyDescent="0.2">
      <c r="B12" s="136" t="s">
        <v>490</v>
      </c>
      <c r="C12" s="124"/>
      <c r="D12" s="83">
        <v>101.41</v>
      </c>
    </row>
    <row r="13" spans="2:5" x14ac:dyDescent="0.2">
      <c r="B13" s="136" t="s">
        <v>492</v>
      </c>
      <c r="C13" s="124"/>
      <c r="D13" s="83">
        <v>65.66</v>
      </c>
    </row>
    <row r="14" spans="2:5" x14ac:dyDescent="0.2">
      <c r="B14" s="136"/>
      <c r="C14" s="124"/>
      <c r="D14" s="84">
        <v>6167.73</v>
      </c>
    </row>
    <row r="15" spans="2:5" ht="8.25" customHeight="1" x14ac:dyDescent="0.2"/>
  </sheetData>
  <mergeCells count="12">
    <mergeCell ref="B14:C14"/>
    <mergeCell ref="C2:E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" right="0" top="0" bottom="0" header="0" footer="0"/>
  <pageSetup paperSize="9" orientation="portrait" horizontalDpi="0" verticalDpi="0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AF6D-A774-4D85-AC6C-03087E18A415}">
  <dimension ref="B1:K54"/>
  <sheetViews>
    <sheetView showGridLines="0" workbookViewId="0">
      <pane ySplit="3" topLeftCell="A4" activePane="bottomLeft" state="frozenSplit"/>
      <selection pane="bottomLeft" activeCell="L30" sqref="L30"/>
    </sheetView>
  </sheetViews>
  <sheetFormatPr defaultRowHeight="12.75" x14ac:dyDescent="0.2"/>
  <cols>
    <col min="1" max="1" width="5.140625" style="75" customWidth="1"/>
    <col min="2" max="2" width="1.7109375" style="75" customWidth="1"/>
    <col min="3" max="3" width="12" style="75" customWidth="1"/>
    <col min="4" max="6" width="13.7109375" style="75" customWidth="1"/>
    <col min="7" max="7" width="5.7109375" style="75" customWidth="1"/>
    <col min="8" max="8" width="7.85546875" style="75" customWidth="1"/>
    <col min="9" max="10" width="13.7109375" style="75" customWidth="1"/>
    <col min="11" max="11" width="3.28515625" style="75" customWidth="1"/>
    <col min="12" max="12" width="2.140625" style="75" customWidth="1"/>
    <col min="13" max="256" width="9.140625" style="75"/>
    <col min="257" max="257" width="5.140625" style="75" customWidth="1"/>
    <col min="258" max="258" width="1.7109375" style="75" customWidth="1"/>
    <col min="259" max="259" width="12" style="75" customWidth="1"/>
    <col min="260" max="262" width="13.7109375" style="75" customWidth="1"/>
    <col min="263" max="263" width="5.7109375" style="75" customWidth="1"/>
    <col min="264" max="264" width="7.85546875" style="75" customWidth="1"/>
    <col min="265" max="266" width="13.7109375" style="75" customWidth="1"/>
    <col min="267" max="267" width="3.28515625" style="75" customWidth="1"/>
    <col min="268" max="268" width="2.140625" style="75" customWidth="1"/>
    <col min="269" max="512" width="9.140625" style="75"/>
    <col min="513" max="513" width="5.140625" style="75" customWidth="1"/>
    <col min="514" max="514" width="1.7109375" style="75" customWidth="1"/>
    <col min="515" max="515" width="12" style="75" customWidth="1"/>
    <col min="516" max="518" width="13.7109375" style="75" customWidth="1"/>
    <col min="519" max="519" width="5.7109375" style="75" customWidth="1"/>
    <col min="520" max="520" width="7.85546875" style="75" customWidth="1"/>
    <col min="521" max="522" width="13.7109375" style="75" customWidth="1"/>
    <col min="523" max="523" width="3.28515625" style="75" customWidth="1"/>
    <col min="524" max="524" width="2.140625" style="75" customWidth="1"/>
    <col min="525" max="768" width="9.140625" style="75"/>
    <col min="769" max="769" width="5.140625" style="75" customWidth="1"/>
    <col min="770" max="770" width="1.7109375" style="75" customWidth="1"/>
    <col min="771" max="771" width="12" style="75" customWidth="1"/>
    <col min="772" max="774" width="13.7109375" style="75" customWidth="1"/>
    <col min="775" max="775" width="5.7109375" style="75" customWidth="1"/>
    <col min="776" max="776" width="7.85546875" style="75" customWidth="1"/>
    <col min="777" max="778" width="13.7109375" style="75" customWidth="1"/>
    <col min="779" max="779" width="3.28515625" style="75" customWidth="1"/>
    <col min="780" max="780" width="2.140625" style="75" customWidth="1"/>
    <col min="781" max="1024" width="9.140625" style="75"/>
    <col min="1025" max="1025" width="5.140625" style="75" customWidth="1"/>
    <col min="1026" max="1026" width="1.7109375" style="75" customWidth="1"/>
    <col min="1027" max="1027" width="12" style="75" customWidth="1"/>
    <col min="1028" max="1030" width="13.7109375" style="75" customWidth="1"/>
    <col min="1031" max="1031" width="5.7109375" style="75" customWidth="1"/>
    <col min="1032" max="1032" width="7.85546875" style="75" customWidth="1"/>
    <col min="1033" max="1034" width="13.7109375" style="75" customWidth="1"/>
    <col min="1035" max="1035" width="3.28515625" style="75" customWidth="1"/>
    <col min="1036" max="1036" width="2.140625" style="75" customWidth="1"/>
    <col min="1037" max="1280" width="9.140625" style="75"/>
    <col min="1281" max="1281" width="5.140625" style="75" customWidth="1"/>
    <col min="1282" max="1282" width="1.7109375" style="75" customWidth="1"/>
    <col min="1283" max="1283" width="12" style="75" customWidth="1"/>
    <col min="1284" max="1286" width="13.7109375" style="75" customWidth="1"/>
    <col min="1287" max="1287" width="5.7109375" style="75" customWidth="1"/>
    <col min="1288" max="1288" width="7.85546875" style="75" customWidth="1"/>
    <col min="1289" max="1290" width="13.7109375" style="75" customWidth="1"/>
    <col min="1291" max="1291" width="3.28515625" style="75" customWidth="1"/>
    <col min="1292" max="1292" width="2.140625" style="75" customWidth="1"/>
    <col min="1293" max="1536" width="9.140625" style="75"/>
    <col min="1537" max="1537" width="5.140625" style="75" customWidth="1"/>
    <col min="1538" max="1538" width="1.7109375" style="75" customWidth="1"/>
    <col min="1539" max="1539" width="12" style="75" customWidth="1"/>
    <col min="1540" max="1542" width="13.7109375" style="75" customWidth="1"/>
    <col min="1543" max="1543" width="5.7109375" style="75" customWidth="1"/>
    <col min="1544" max="1544" width="7.85546875" style="75" customWidth="1"/>
    <col min="1545" max="1546" width="13.7109375" style="75" customWidth="1"/>
    <col min="1547" max="1547" width="3.28515625" style="75" customWidth="1"/>
    <col min="1548" max="1548" width="2.140625" style="75" customWidth="1"/>
    <col min="1549" max="1792" width="9.140625" style="75"/>
    <col min="1793" max="1793" width="5.140625" style="75" customWidth="1"/>
    <col min="1794" max="1794" width="1.7109375" style="75" customWidth="1"/>
    <col min="1795" max="1795" width="12" style="75" customWidth="1"/>
    <col min="1796" max="1798" width="13.7109375" style="75" customWidth="1"/>
    <col min="1799" max="1799" width="5.7109375" style="75" customWidth="1"/>
    <col min="1800" max="1800" width="7.85546875" style="75" customWidth="1"/>
    <col min="1801" max="1802" width="13.7109375" style="75" customWidth="1"/>
    <col min="1803" max="1803" width="3.28515625" style="75" customWidth="1"/>
    <col min="1804" max="1804" width="2.140625" style="75" customWidth="1"/>
    <col min="1805" max="2048" width="9.140625" style="75"/>
    <col min="2049" max="2049" width="5.140625" style="75" customWidth="1"/>
    <col min="2050" max="2050" width="1.7109375" style="75" customWidth="1"/>
    <col min="2051" max="2051" width="12" style="75" customWidth="1"/>
    <col min="2052" max="2054" width="13.7109375" style="75" customWidth="1"/>
    <col min="2055" max="2055" width="5.7109375" style="75" customWidth="1"/>
    <col min="2056" max="2056" width="7.85546875" style="75" customWidth="1"/>
    <col min="2057" max="2058" width="13.7109375" style="75" customWidth="1"/>
    <col min="2059" max="2059" width="3.28515625" style="75" customWidth="1"/>
    <col min="2060" max="2060" width="2.140625" style="75" customWidth="1"/>
    <col min="2061" max="2304" width="9.140625" style="75"/>
    <col min="2305" max="2305" width="5.140625" style="75" customWidth="1"/>
    <col min="2306" max="2306" width="1.7109375" style="75" customWidth="1"/>
    <col min="2307" max="2307" width="12" style="75" customWidth="1"/>
    <col min="2308" max="2310" width="13.7109375" style="75" customWidth="1"/>
    <col min="2311" max="2311" width="5.7109375" style="75" customWidth="1"/>
    <col min="2312" max="2312" width="7.85546875" style="75" customWidth="1"/>
    <col min="2313" max="2314" width="13.7109375" style="75" customWidth="1"/>
    <col min="2315" max="2315" width="3.28515625" style="75" customWidth="1"/>
    <col min="2316" max="2316" width="2.140625" style="75" customWidth="1"/>
    <col min="2317" max="2560" width="9.140625" style="75"/>
    <col min="2561" max="2561" width="5.140625" style="75" customWidth="1"/>
    <col min="2562" max="2562" width="1.7109375" style="75" customWidth="1"/>
    <col min="2563" max="2563" width="12" style="75" customWidth="1"/>
    <col min="2564" max="2566" width="13.7109375" style="75" customWidth="1"/>
    <col min="2567" max="2567" width="5.7109375" style="75" customWidth="1"/>
    <col min="2568" max="2568" width="7.85546875" style="75" customWidth="1"/>
    <col min="2569" max="2570" width="13.7109375" style="75" customWidth="1"/>
    <col min="2571" max="2571" width="3.28515625" style="75" customWidth="1"/>
    <col min="2572" max="2572" width="2.140625" style="75" customWidth="1"/>
    <col min="2573" max="2816" width="9.140625" style="75"/>
    <col min="2817" max="2817" width="5.140625" style="75" customWidth="1"/>
    <col min="2818" max="2818" width="1.7109375" style="75" customWidth="1"/>
    <col min="2819" max="2819" width="12" style="75" customWidth="1"/>
    <col min="2820" max="2822" width="13.7109375" style="75" customWidth="1"/>
    <col min="2823" max="2823" width="5.7109375" style="75" customWidth="1"/>
    <col min="2824" max="2824" width="7.85546875" style="75" customWidth="1"/>
    <col min="2825" max="2826" width="13.7109375" style="75" customWidth="1"/>
    <col min="2827" max="2827" width="3.28515625" style="75" customWidth="1"/>
    <col min="2828" max="2828" width="2.140625" style="75" customWidth="1"/>
    <col min="2829" max="3072" width="9.140625" style="75"/>
    <col min="3073" max="3073" width="5.140625" style="75" customWidth="1"/>
    <col min="3074" max="3074" width="1.7109375" style="75" customWidth="1"/>
    <col min="3075" max="3075" width="12" style="75" customWidth="1"/>
    <col min="3076" max="3078" width="13.7109375" style="75" customWidth="1"/>
    <col min="3079" max="3079" width="5.7109375" style="75" customWidth="1"/>
    <col min="3080" max="3080" width="7.85546875" style="75" customWidth="1"/>
    <col min="3081" max="3082" width="13.7109375" style="75" customWidth="1"/>
    <col min="3083" max="3083" width="3.28515625" style="75" customWidth="1"/>
    <col min="3084" max="3084" width="2.140625" style="75" customWidth="1"/>
    <col min="3085" max="3328" width="9.140625" style="75"/>
    <col min="3329" max="3329" width="5.140625" style="75" customWidth="1"/>
    <col min="3330" max="3330" width="1.7109375" style="75" customWidth="1"/>
    <col min="3331" max="3331" width="12" style="75" customWidth="1"/>
    <col min="3332" max="3334" width="13.7109375" style="75" customWidth="1"/>
    <col min="3335" max="3335" width="5.7109375" style="75" customWidth="1"/>
    <col min="3336" max="3336" width="7.85546875" style="75" customWidth="1"/>
    <col min="3337" max="3338" width="13.7109375" style="75" customWidth="1"/>
    <col min="3339" max="3339" width="3.28515625" style="75" customWidth="1"/>
    <col min="3340" max="3340" width="2.140625" style="75" customWidth="1"/>
    <col min="3341" max="3584" width="9.140625" style="75"/>
    <col min="3585" max="3585" width="5.140625" style="75" customWidth="1"/>
    <col min="3586" max="3586" width="1.7109375" style="75" customWidth="1"/>
    <col min="3587" max="3587" width="12" style="75" customWidth="1"/>
    <col min="3588" max="3590" width="13.7109375" style="75" customWidth="1"/>
    <col min="3591" max="3591" width="5.7109375" style="75" customWidth="1"/>
    <col min="3592" max="3592" width="7.85546875" style="75" customWidth="1"/>
    <col min="3593" max="3594" width="13.7109375" style="75" customWidth="1"/>
    <col min="3595" max="3595" width="3.28515625" style="75" customWidth="1"/>
    <col min="3596" max="3596" width="2.140625" style="75" customWidth="1"/>
    <col min="3597" max="3840" width="9.140625" style="75"/>
    <col min="3841" max="3841" width="5.140625" style="75" customWidth="1"/>
    <col min="3842" max="3842" width="1.7109375" style="75" customWidth="1"/>
    <col min="3843" max="3843" width="12" style="75" customWidth="1"/>
    <col min="3844" max="3846" width="13.7109375" style="75" customWidth="1"/>
    <col min="3847" max="3847" width="5.7109375" style="75" customWidth="1"/>
    <col min="3848" max="3848" width="7.85546875" style="75" customWidth="1"/>
    <col min="3849" max="3850" width="13.7109375" style="75" customWidth="1"/>
    <col min="3851" max="3851" width="3.28515625" style="75" customWidth="1"/>
    <col min="3852" max="3852" width="2.140625" style="75" customWidth="1"/>
    <col min="3853" max="4096" width="9.140625" style="75"/>
    <col min="4097" max="4097" width="5.140625" style="75" customWidth="1"/>
    <col min="4098" max="4098" width="1.7109375" style="75" customWidth="1"/>
    <col min="4099" max="4099" width="12" style="75" customWidth="1"/>
    <col min="4100" max="4102" width="13.7109375" style="75" customWidth="1"/>
    <col min="4103" max="4103" width="5.7109375" style="75" customWidth="1"/>
    <col min="4104" max="4104" width="7.85546875" style="75" customWidth="1"/>
    <col min="4105" max="4106" width="13.7109375" style="75" customWidth="1"/>
    <col min="4107" max="4107" width="3.28515625" style="75" customWidth="1"/>
    <col min="4108" max="4108" width="2.140625" style="75" customWidth="1"/>
    <col min="4109" max="4352" width="9.140625" style="75"/>
    <col min="4353" max="4353" width="5.140625" style="75" customWidth="1"/>
    <col min="4354" max="4354" width="1.7109375" style="75" customWidth="1"/>
    <col min="4355" max="4355" width="12" style="75" customWidth="1"/>
    <col min="4356" max="4358" width="13.7109375" style="75" customWidth="1"/>
    <col min="4359" max="4359" width="5.7109375" style="75" customWidth="1"/>
    <col min="4360" max="4360" width="7.85546875" style="75" customWidth="1"/>
    <col min="4361" max="4362" width="13.7109375" style="75" customWidth="1"/>
    <col min="4363" max="4363" width="3.28515625" style="75" customWidth="1"/>
    <col min="4364" max="4364" width="2.140625" style="75" customWidth="1"/>
    <col min="4365" max="4608" width="9.140625" style="75"/>
    <col min="4609" max="4609" width="5.140625" style="75" customWidth="1"/>
    <col min="4610" max="4610" width="1.7109375" style="75" customWidth="1"/>
    <col min="4611" max="4611" width="12" style="75" customWidth="1"/>
    <col min="4612" max="4614" width="13.7109375" style="75" customWidth="1"/>
    <col min="4615" max="4615" width="5.7109375" style="75" customWidth="1"/>
    <col min="4616" max="4616" width="7.85546875" style="75" customWidth="1"/>
    <col min="4617" max="4618" width="13.7109375" style="75" customWidth="1"/>
    <col min="4619" max="4619" width="3.28515625" style="75" customWidth="1"/>
    <col min="4620" max="4620" width="2.140625" style="75" customWidth="1"/>
    <col min="4621" max="4864" width="9.140625" style="75"/>
    <col min="4865" max="4865" width="5.140625" style="75" customWidth="1"/>
    <col min="4866" max="4866" width="1.7109375" style="75" customWidth="1"/>
    <col min="4867" max="4867" width="12" style="75" customWidth="1"/>
    <col min="4868" max="4870" width="13.7109375" style="75" customWidth="1"/>
    <col min="4871" max="4871" width="5.7109375" style="75" customWidth="1"/>
    <col min="4872" max="4872" width="7.85546875" style="75" customWidth="1"/>
    <col min="4873" max="4874" width="13.7109375" style="75" customWidth="1"/>
    <col min="4875" max="4875" width="3.28515625" style="75" customWidth="1"/>
    <col min="4876" max="4876" width="2.140625" style="75" customWidth="1"/>
    <col min="4877" max="5120" width="9.140625" style="75"/>
    <col min="5121" max="5121" width="5.140625" style="75" customWidth="1"/>
    <col min="5122" max="5122" width="1.7109375" style="75" customWidth="1"/>
    <col min="5123" max="5123" width="12" style="75" customWidth="1"/>
    <col min="5124" max="5126" width="13.7109375" style="75" customWidth="1"/>
    <col min="5127" max="5127" width="5.7109375" style="75" customWidth="1"/>
    <col min="5128" max="5128" width="7.85546875" style="75" customWidth="1"/>
    <col min="5129" max="5130" width="13.7109375" style="75" customWidth="1"/>
    <col min="5131" max="5131" width="3.28515625" style="75" customWidth="1"/>
    <col min="5132" max="5132" width="2.140625" style="75" customWidth="1"/>
    <col min="5133" max="5376" width="9.140625" style="75"/>
    <col min="5377" max="5377" width="5.140625" style="75" customWidth="1"/>
    <col min="5378" max="5378" width="1.7109375" style="75" customWidth="1"/>
    <col min="5379" max="5379" width="12" style="75" customWidth="1"/>
    <col min="5380" max="5382" width="13.7109375" style="75" customWidth="1"/>
    <col min="5383" max="5383" width="5.7109375" style="75" customWidth="1"/>
    <col min="5384" max="5384" width="7.85546875" style="75" customWidth="1"/>
    <col min="5385" max="5386" width="13.7109375" style="75" customWidth="1"/>
    <col min="5387" max="5387" width="3.28515625" style="75" customWidth="1"/>
    <col min="5388" max="5388" width="2.140625" style="75" customWidth="1"/>
    <col min="5389" max="5632" width="9.140625" style="75"/>
    <col min="5633" max="5633" width="5.140625" style="75" customWidth="1"/>
    <col min="5634" max="5634" width="1.7109375" style="75" customWidth="1"/>
    <col min="5635" max="5635" width="12" style="75" customWidth="1"/>
    <col min="5636" max="5638" width="13.7109375" style="75" customWidth="1"/>
    <col min="5639" max="5639" width="5.7109375" style="75" customWidth="1"/>
    <col min="5640" max="5640" width="7.85546875" style="75" customWidth="1"/>
    <col min="5641" max="5642" width="13.7109375" style="75" customWidth="1"/>
    <col min="5643" max="5643" width="3.28515625" style="75" customWidth="1"/>
    <col min="5644" max="5644" width="2.140625" style="75" customWidth="1"/>
    <col min="5645" max="5888" width="9.140625" style="75"/>
    <col min="5889" max="5889" width="5.140625" style="75" customWidth="1"/>
    <col min="5890" max="5890" width="1.7109375" style="75" customWidth="1"/>
    <col min="5891" max="5891" width="12" style="75" customWidth="1"/>
    <col min="5892" max="5894" width="13.7109375" style="75" customWidth="1"/>
    <col min="5895" max="5895" width="5.7109375" style="75" customWidth="1"/>
    <col min="5896" max="5896" width="7.85546875" style="75" customWidth="1"/>
    <col min="5897" max="5898" width="13.7109375" style="75" customWidth="1"/>
    <col min="5899" max="5899" width="3.28515625" style="75" customWidth="1"/>
    <col min="5900" max="5900" width="2.140625" style="75" customWidth="1"/>
    <col min="5901" max="6144" width="9.140625" style="75"/>
    <col min="6145" max="6145" width="5.140625" style="75" customWidth="1"/>
    <col min="6146" max="6146" width="1.7109375" style="75" customWidth="1"/>
    <col min="6147" max="6147" width="12" style="75" customWidth="1"/>
    <col min="6148" max="6150" width="13.7109375" style="75" customWidth="1"/>
    <col min="6151" max="6151" width="5.7109375" style="75" customWidth="1"/>
    <col min="6152" max="6152" width="7.85546875" style="75" customWidth="1"/>
    <col min="6153" max="6154" width="13.7109375" style="75" customWidth="1"/>
    <col min="6155" max="6155" width="3.28515625" style="75" customWidth="1"/>
    <col min="6156" max="6156" width="2.140625" style="75" customWidth="1"/>
    <col min="6157" max="6400" width="9.140625" style="75"/>
    <col min="6401" max="6401" width="5.140625" style="75" customWidth="1"/>
    <col min="6402" max="6402" width="1.7109375" style="75" customWidth="1"/>
    <col min="6403" max="6403" width="12" style="75" customWidth="1"/>
    <col min="6404" max="6406" width="13.7109375" style="75" customWidth="1"/>
    <col min="6407" max="6407" width="5.7109375" style="75" customWidth="1"/>
    <col min="6408" max="6408" width="7.85546875" style="75" customWidth="1"/>
    <col min="6409" max="6410" width="13.7109375" style="75" customWidth="1"/>
    <col min="6411" max="6411" width="3.28515625" style="75" customWidth="1"/>
    <col min="6412" max="6412" width="2.140625" style="75" customWidth="1"/>
    <col min="6413" max="6656" width="9.140625" style="75"/>
    <col min="6657" max="6657" width="5.140625" style="75" customWidth="1"/>
    <col min="6658" max="6658" width="1.7109375" style="75" customWidth="1"/>
    <col min="6659" max="6659" width="12" style="75" customWidth="1"/>
    <col min="6660" max="6662" width="13.7109375" style="75" customWidth="1"/>
    <col min="6663" max="6663" width="5.7109375" style="75" customWidth="1"/>
    <col min="6664" max="6664" width="7.85546875" style="75" customWidth="1"/>
    <col min="6665" max="6666" width="13.7109375" style="75" customWidth="1"/>
    <col min="6667" max="6667" width="3.28515625" style="75" customWidth="1"/>
    <col min="6668" max="6668" width="2.140625" style="75" customWidth="1"/>
    <col min="6669" max="6912" width="9.140625" style="75"/>
    <col min="6913" max="6913" width="5.140625" style="75" customWidth="1"/>
    <col min="6914" max="6914" width="1.7109375" style="75" customWidth="1"/>
    <col min="6915" max="6915" width="12" style="75" customWidth="1"/>
    <col min="6916" max="6918" width="13.7109375" style="75" customWidth="1"/>
    <col min="6919" max="6919" width="5.7109375" style="75" customWidth="1"/>
    <col min="6920" max="6920" width="7.85546875" style="75" customWidth="1"/>
    <col min="6921" max="6922" width="13.7109375" style="75" customWidth="1"/>
    <col min="6923" max="6923" width="3.28515625" style="75" customWidth="1"/>
    <col min="6924" max="6924" width="2.140625" style="75" customWidth="1"/>
    <col min="6925" max="7168" width="9.140625" style="75"/>
    <col min="7169" max="7169" width="5.140625" style="75" customWidth="1"/>
    <col min="7170" max="7170" width="1.7109375" style="75" customWidth="1"/>
    <col min="7171" max="7171" width="12" style="75" customWidth="1"/>
    <col min="7172" max="7174" width="13.7109375" style="75" customWidth="1"/>
    <col min="7175" max="7175" width="5.7109375" style="75" customWidth="1"/>
    <col min="7176" max="7176" width="7.85546875" style="75" customWidth="1"/>
    <col min="7177" max="7178" width="13.7109375" style="75" customWidth="1"/>
    <col min="7179" max="7179" width="3.28515625" style="75" customWidth="1"/>
    <col min="7180" max="7180" width="2.140625" style="75" customWidth="1"/>
    <col min="7181" max="7424" width="9.140625" style="75"/>
    <col min="7425" max="7425" width="5.140625" style="75" customWidth="1"/>
    <col min="7426" max="7426" width="1.7109375" style="75" customWidth="1"/>
    <col min="7427" max="7427" width="12" style="75" customWidth="1"/>
    <col min="7428" max="7430" width="13.7109375" style="75" customWidth="1"/>
    <col min="7431" max="7431" width="5.7109375" style="75" customWidth="1"/>
    <col min="7432" max="7432" width="7.85546875" style="75" customWidth="1"/>
    <col min="7433" max="7434" width="13.7109375" style="75" customWidth="1"/>
    <col min="7435" max="7435" width="3.28515625" style="75" customWidth="1"/>
    <col min="7436" max="7436" width="2.140625" style="75" customWidth="1"/>
    <col min="7437" max="7680" width="9.140625" style="75"/>
    <col min="7681" max="7681" width="5.140625" style="75" customWidth="1"/>
    <col min="7682" max="7682" width="1.7109375" style="75" customWidth="1"/>
    <col min="7683" max="7683" width="12" style="75" customWidth="1"/>
    <col min="7684" max="7686" width="13.7109375" style="75" customWidth="1"/>
    <col min="7687" max="7687" width="5.7109375" style="75" customWidth="1"/>
    <col min="7688" max="7688" width="7.85546875" style="75" customWidth="1"/>
    <col min="7689" max="7690" width="13.7109375" style="75" customWidth="1"/>
    <col min="7691" max="7691" width="3.28515625" style="75" customWidth="1"/>
    <col min="7692" max="7692" width="2.140625" style="75" customWidth="1"/>
    <col min="7693" max="7936" width="9.140625" style="75"/>
    <col min="7937" max="7937" width="5.140625" style="75" customWidth="1"/>
    <col min="7938" max="7938" width="1.7109375" style="75" customWidth="1"/>
    <col min="7939" max="7939" width="12" style="75" customWidth="1"/>
    <col min="7940" max="7942" width="13.7109375" style="75" customWidth="1"/>
    <col min="7943" max="7943" width="5.7109375" style="75" customWidth="1"/>
    <col min="7944" max="7944" width="7.85546875" style="75" customWidth="1"/>
    <col min="7945" max="7946" width="13.7109375" style="75" customWidth="1"/>
    <col min="7947" max="7947" width="3.28515625" style="75" customWidth="1"/>
    <col min="7948" max="7948" width="2.140625" style="75" customWidth="1"/>
    <col min="7949" max="8192" width="9.140625" style="75"/>
    <col min="8193" max="8193" width="5.140625" style="75" customWidth="1"/>
    <col min="8194" max="8194" width="1.7109375" style="75" customWidth="1"/>
    <col min="8195" max="8195" width="12" style="75" customWidth="1"/>
    <col min="8196" max="8198" width="13.7109375" style="75" customWidth="1"/>
    <col min="8199" max="8199" width="5.7109375" style="75" customWidth="1"/>
    <col min="8200" max="8200" width="7.85546875" style="75" customWidth="1"/>
    <col min="8201" max="8202" width="13.7109375" style="75" customWidth="1"/>
    <col min="8203" max="8203" width="3.28515625" style="75" customWidth="1"/>
    <col min="8204" max="8204" width="2.140625" style="75" customWidth="1"/>
    <col min="8205" max="8448" width="9.140625" style="75"/>
    <col min="8449" max="8449" width="5.140625" style="75" customWidth="1"/>
    <col min="8450" max="8450" width="1.7109375" style="75" customWidth="1"/>
    <col min="8451" max="8451" width="12" style="75" customWidth="1"/>
    <col min="8452" max="8454" width="13.7109375" style="75" customWidth="1"/>
    <col min="8455" max="8455" width="5.7109375" style="75" customWidth="1"/>
    <col min="8456" max="8456" width="7.85546875" style="75" customWidth="1"/>
    <col min="8457" max="8458" width="13.7109375" style="75" customWidth="1"/>
    <col min="8459" max="8459" width="3.28515625" style="75" customWidth="1"/>
    <col min="8460" max="8460" width="2.140625" style="75" customWidth="1"/>
    <col min="8461" max="8704" width="9.140625" style="75"/>
    <col min="8705" max="8705" width="5.140625" style="75" customWidth="1"/>
    <col min="8706" max="8706" width="1.7109375" style="75" customWidth="1"/>
    <col min="8707" max="8707" width="12" style="75" customWidth="1"/>
    <col min="8708" max="8710" width="13.7109375" style="75" customWidth="1"/>
    <col min="8711" max="8711" width="5.7109375" style="75" customWidth="1"/>
    <col min="8712" max="8712" width="7.85546875" style="75" customWidth="1"/>
    <col min="8713" max="8714" width="13.7109375" style="75" customWidth="1"/>
    <col min="8715" max="8715" width="3.28515625" style="75" customWidth="1"/>
    <col min="8716" max="8716" width="2.140625" style="75" customWidth="1"/>
    <col min="8717" max="8960" width="9.140625" style="75"/>
    <col min="8961" max="8961" width="5.140625" style="75" customWidth="1"/>
    <col min="8962" max="8962" width="1.7109375" style="75" customWidth="1"/>
    <col min="8963" max="8963" width="12" style="75" customWidth="1"/>
    <col min="8964" max="8966" width="13.7109375" style="75" customWidth="1"/>
    <col min="8967" max="8967" width="5.7109375" style="75" customWidth="1"/>
    <col min="8968" max="8968" width="7.85546875" style="75" customWidth="1"/>
    <col min="8969" max="8970" width="13.7109375" style="75" customWidth="1"/>
    <col min="8971" max="8971" width="3.28515625" style="75" customWidth="1"/>
    <col min="8972" max="8972" width="2.140625" style="75" customWidth="1"/>
    <col min="8973" max="9216" width="9.140625" style="75"/>
    <col min="9217" max="9217" width="5.140625" style="75" customWidth="1"/>
    <col min="9218" max="9218" width="1.7109375" style="75" customWidth="1"/>
    <col min="9219" max="9219" width="12" style="75" customWidth="1"/>
    <col min="9220" max="9222" width="13.7109375" style="75" customWidth="1"/>
    <col min="9223" max="9223" width="5.7109375" style="75" customWidth="1"/>
    <col min="9224" max="9224" width="7.85546875" style="75" customWidth="1"/>
    <col min="9225" max="9226" width="13.7109375" style="75" customWidth="1"/>
    <col min="9227" max="9227" width="3.28515625" style="75" customWidth="1"/>
    <col min="9228" max="9228" width="2.140625" style="75" customWidth="1"/>
    <col min="9229" max="9472" width="9.140625" style="75"/>
    <col min="9473" max="9473" width="5.140625" style="75" customWidth="1"/>
    <col min="9474" max="9474" width="1.7109375" style="75" customWidth="1"/>
    <col min="9475" max="9475" width="12" style="75" customWidth="1"/>
    <col min="9476" max="9478" width="13.7109375" style="75" customWidth="1"/>
    <col min="9479" max="9479" width="5.7109375" style="75" customWidth="1"/>
    <col min="9480" max="9480" width="7.85546875" style="75" customWidth="1"/>
    <col min="9481" max="9482" width="13.7109375" style="75" customWidth="1"/>
    <col min="9483" max="9483" width="3.28515625" style="75" customWidth="1"/>
    <col min="9484" max="9484" width="2.140625" style="75" customWidth="1"/>
    <col min="9485" max="9728" width="9.140625" style="75"/>
    <col min="9729" max="9729" width="5.140625" style="75" customWidth="1"/>
    <col min="9730" max="9730" width="1.7109375" style="75" customWidth="1"/>
    <col min="9731" max="9731" width="12" style="75" customWidth="1"/>
    <col min="9732" max="9734" width="13.7109375" style="75" customWidth="1"/>
    <col min="9735" max="9735" width="5.7109375" style="75" customWidth="1"/>
    <col min="9736" max="9736" width="7.85546875" style="75" customWidth="1"/>
    <col min="9737" max="9738" width="13.7109375" style="75" customWidth="1"/>
    <col min="9739" max="9739" width="3.28515625" style="75" customWidth="1"/>
    <col min="9740" max="9740" width="2.140625" style="75" customWidth="1"/>
    <col min="9741" max="9984" width="9.140625" style="75"/>
    <col min="9985" max="9985" width="5.140625" style="75" customWidth="1"/>
    <col min="9986" max="9986" width="1.7109375" style="75" customWidth="1"/>
    <col min="9987" max="9987" width="12" style="75" customWidth="1"/>
    <col min="9988" max="9990" width="13.7109375" style="75" customWidth="1"/>
    <col min="9991" max="9991" width="5.7109375" style="75" customWidth="1"/>
    <col min="9992" max="9992" width="7.85546875" style="75" customWidth="1"/>
    <col min="9993" max="9994" width="13.7109375" style="75" customWidth="1"/>
    <col min="9995" max="9995" width="3.28515625" style="75" customWidth="1"/>
    <col min="9996" max="9996" width="2.140625" style="75" customWidth="1"/>
    <col min="9997" max="10240" width="9.140625" style="75"/>
    <col min="10241" max="10241" width="5.140625" style="75" customWidth="1"/>
    <col min="10242" max="10242" width="1.7109375" style="75" customWidth="1"/>
    <col min="10243" max="10243" width="12" style="75" customWidth="1"/>
    <col min="10244" max="10246" width="13.7109375" style="75" customWidth="1"/>
    <col min="10247" max="10247" width="5.7109375" style="75" customWidth="1"/>
    <col min="10248" max="10248" width="7.85546875" style="75" customWidth="1"/>
    <col min="10249" max="10250" width="13.7109375" style="75" customWidth="1"/>
    <col min="10251" max="10251" width="3.28515625" style="75" customWidth="1"/>
    <col min="10252" max="10252" width="2.140625" style="75" customWidth="1"/>
    <col min="10253" max="10496" width="9.140625" style="75"/>
    <col min="10497" max="10497" width="5.140625" style="75" customWidth="1"/>
    <col min="10498" max="10498" width="1.7109375" style="75" customWidth="1"/>
    <col min="10499" max="10499" width="12" style="75" customWidth="1"/>
    <col min="10500" max="10502" width="13.7109375" style="75" customWidth="1"/>
    <col min="10503" max="10503" width="5.7109375" style="75" customWidth="1"/>
    <col min="10504" max="10504" width="7.85546875" style="75" customWidth="1"/>
    <col min="10505" max="10506" width="13.7109375" style="75" customWidth="1"/>
    <col min="10507" max="10507" width="3.28515625" style="75" customWidth="1"/>
    <col min="10508" max="10508" width="2.140625" style="75" customWidth="1"/>
    <col min="10509" max="10752" width="9.140625" style="75"/>
    <col min="10753" max="10753" width="5.140625" style="75" customWidth="1"/>
    <col min="10754" max="10754" width="1.7109375" style="75" customWidth="1"/>
    <col min="10755" max="10755" width="12" style="75" customWidth="1"/>
    <col min="10756" max="10758" width="13.7109375" style="75" customWidth="1"/>
    <col min="10759" max="10759" width="5.7109375" style="75" customWidth="1"/>
    <col min="10760" max="10760" width="7.85546875" style="75" customWidth="1"/>
    <col min="10761" max="10762" width="13.7109375" style="75" customWidth="1"/>
    <col min="10763" max="10763" width="3.28515625" style="75" customWidth="1"/>
    <col min="10764" max="10764" width="2.140625" style="75" customWidth="1"/>
    <col min="10765" max="11008" width="9.140625" style="75"/>
    <col min="11009" max="11009" width="5.140625" style="75" customWidth="1"/>
    <col min="11010" max="11010" width="1.7109375" style="75" customWidth="1"/>
    <col min="11011" max="11011" width="12" style="75" customWidth="1"/>
    <col min="11012" max="11014" width="13.7109375" style="75" customWidth="1"/>
    <col min="11015" max="11015" width="5.7109375" style="75" customWidth="1"/>
    <col min="11016" max="11016" width="7.85546875" style="75" customWidth="1"/>
    <col min="11017" max="11018" width="13.7109375" style="75" customWidth="1"/>
    <col min="11019" max="11019" width="3.28515625" style="75" customWidth="1"/>
    <col min="11020" max="11020" width="2.140625" style="75" customWidth="1"/>
    <col min="11021" max="11264" width="9.140625" style="75"/>
    <col min="11265" max="11265" width="5.140625" style="75" customWidth="1"/>
    <col min="11266" max="11266" width="1.7109375" style="75" customWidth="1"/>
    <col min="11267" max="11267" width="12" style="75" customWidth="1"/>
    <col min="11268" max="11270" width="13.7109375" style="75" customWidth="1"/>
    <col min="11271" max="11271" width="5.7109375" style="75" customWidth="1"/>
    <col min="11272" max="11272" width="7.85546875" style="75" customWidth="1"/>
    <col min="11273" max="11274" width="13.7109375" style="75" customWidth="1"/>
    <col min="11275" max="11275" width="3.28515625" style="75" customWidth="1"/>
    <col min="11276" max="11276" width="2.140625" style="75" customWidth="1"/>
    <col min="11277" max="11520" width="9.140625" style="75"/>
    <col min="11521" max="11521" width="5.140625" style="75" customWidth="1"/>
    <col min="11522" max="11522" width="1.7109375" style="75" customWidth="1"/>
    <col min="11523" max="11523" width="12" style="75" customWidth="1"/>
    <col min="11524" max="11526" width="13.7109375" style="75" customWidth="1"/>
    <col min="11527" max="11527" width="5.7109375" style="75" customWidth="1"/>
    <col min="11528" max="11528" width="7.85546875" style="75" customWidth="1"/>
    <col min="11529" max="11530" width="13.7109375" style="75" customWidth="1"/>
    <col min="11531" max="11531" width="3.28515625" style="75" customWidth="1"/>
    <col min="11532" max="11532" width="2.140625" style="75" customWidth="1"/>
    <col min="11533" max="11776" width="9.140625" style="75"/>
    <col min="11777" max="11777" width="5.140625" style="75" customWidth="1"/>
    <col min="11778" max="11778" width="1.7109375" style="75" customWidth="1"/>
    <col min="11779" max="11779" width="12" style="75" customWidth="1"/>
    <col min="11780" max="11782" width="13.7109375" style="75" customWidth="1"/>
    <col min="11783" max="11783" width="5.7109375" style="75" customWidth="1"/>
    <col min="11784" max="11784" width="7.85546875" style="75" customWidth="1"/>
    <col min="11785" max="11786" width="13.7109375" style="75" customWidth="1"/>
    <col min="11787" max="11787" width="3.28515625" style="75" customWidth="1"/>
    <col min="11788" max="11788" width="2.140625" style="75" customWidth="1"/>
    <col min="11789" max="12032" width="9.140625" style="75"/>
    <col min="12033" max="12033" width="5.140625" style="75" customWidth="1"/>
    <col min="12034" max="12034" width="1.7109375" style="75" customWidth="1"/>
    <col min="12035" max="12035" width="12" style="75" customWidth="1"/>
    <col min="12036" max="12038" width="13.7109375" style="75" customWidth="1"/>
    <col min="12039" max="12039" width="5.7109375" style="75" customWidth="1"/>
    <col min="12040" max="12040" width="7.85546875" style="75" customWidth="1"/>
    <col min="12041" max="12042" width="13.7109375" style="75" customWidth="1"/>
    <col min="12043" max="12043" width="3.28515625" style="75" customWidth="1"/>
    <col min="12044" max="12044" width="2.140625" style="75" customWidth="1"/>
    <col min="12045" max="12288" width="9.140625" style="75"/>
    <col min="12289" max="12289" width="5.140625" style="75" customWidth="1"/>
    <col min="12290" max="12290" width="1.7109375" style="75" customWidth="1"/>
    <col min="12291" max="12291" width="12" style="75" customWidth="1"/>
    <col min="12292" max="12294" width="13.7109375" style="75" customWidth="1"/>
    <col min="12295" max="12295" width="5.7109375" style="75" customWidth="1"/>
    <col min="12296" max="12296" width="7.85546875" style="75" customWidth="1"/>
    <col min="12297" max="12298" width="13.7109375" style="75" customWidth="1"/>
    <col min="12299" max="12299" width="3.28515625" style="75" customWidth="1"/>
    <col min="12300" max="12300" width="2.140625" style="75" customWidth="1"/>
    <col min="12301" max="12544" width="9.140625" style="75"/>
    <col min="12545" max="12545" width="5.140625" style="75" customWidth="1"/>
    <col min="12546" max="12546" width="1.7109375" style="75" customWidth="1"/>
    <col min="12547" max="12547" width="12" style="75" customWidth="1"/>
    <col min="12548" max="12550" width="13.7109375" style="75" customWidth="1"/>
    <col min="12551" max="12551" width="5.7109375" style="75" customWidth="1"/>
    <col min="12552" max="12552" width="7.85546875" style="75" customWidth="1"/>
    <col min="12553" max="12554" width="13.7109375" style="75" customWidth="1"/>
    <col min="12555" max="12555" width="3.28515625" style="75" customWidth="1"/>
    <col min="12556" max="12556" width="2.140625" style="75" customWidth="1"/>
    <col min="12557" max="12800" width="9.140625" style="75"/>
    <col min="12801" max="12801" width="5.140625" style="75" customWidth="1"/>
    <col min="12802" max="12802" width="1.7109375" style="75" customWidth="1"/>
    <col min="12803" max="12803" width="12" style="75" customWidth="1"/>
    <col min="12804" max="12806" width="13.7109375" style="75" customWidth="1"/>
    <col min="12807" max="12807" width="5.7109375" style="75" customWidth="1"/>
    <col min="12808" max="12808" width="7.85546875" style="75" customWidth="1"/>
    <col min="12809" max="12810" width="13.7109375" style="75" customWidth="1"/>
    <col min="12811" max="12811" width="3.28515625" style="75" customWidth="1"/>
    <col min="12812" max="12812" width="2.140625" style="75" customWidth="1"/>
    <col min="12813" max="13056" width="9.140625" style="75"/>
    <col min="13057" max="13057" width="5.140625" style="75" customWidth="1"/>
    <col min="13058" max="13058" width="1.7109375" style="75" customWidth="1"/>
    <col min="13059" max="13059" width="12" style="75" customWidth="1"/>
    <col min="13060" max="13062" width="13.7109375" style="75" customWidth="1"/>
    <col min="13063" max="13063" width="5.7109375" style="75" customWidth="1"/>
    <col min="13064" max="13064" width="7.85546875" style="75" customWidth="1"/>
    <col min="13065" max="13066" width="13.7109375" style="75" customWidth="1"/>
    <col min="13067" max="13067" width="3.28515625" style="75" customWidth="1"/>
    <col min="13068" max="13068" width="2.140625" style="75" customWidth="1"/>
    <col min="13069" max="13312" width="9.140625" style="75"/>
    <col min="13313" max="13313" width="5.140625" style="75" customWidth="1"/>
    <col min="13314" max="13314" width="1.7109375" style="75" customWidth="1"/>
    <col min="13315" max="13315" width="12" style="75" customWidth="1"/>
    <col min="13316" max="13318" width="13.7109375" style="75" customWidth="1"/>
    <col min="13319" max="13319" width="5.7109375" style="75" customWidth="1"/>
    <col min="13320" max="13320" width="7.85546875" style="75" customWidth="1"/>
    <col min="13321" max="13322" width="13.7109375" style="75" customWidth="1"/>
    <col min="13323" max="13323" width="3.28515625" style="75" customWidth="1"/>
    <col min="13324" max="13324" width="2.140625" style="75" customWidth="1"/>
    <col min="13325" max="13568" width="9.140625" style="75"/>
    <col min="13569" max="13569" width="5.140625" style="75" customWidth="1"/>
    <col min="13570" max="13570" width="1.7109375" style="75" customWidth="1"/>
    <col min="13571" max="13571" width="12" style="75" customWidth="1"/>
    <col min="13572" max="13574" width="13.7109375" style="75" customWidth="1"/>
    <col min="13575" max="13575" width="5.7109375" style="75" customWidth="1"/>
    <col min="13576" max="13576" width="7.85546875" style="75" customWidth="1"/>
    <col min="13577" max="13578" width="13.7109375" style="75" customWidth="1"/>
    <col min="13579" max="13579" width="3.28515625" style="75" customWidth="1"/>
    <col min="13580" max="13580" width="2.140625" style="75" customWidth="1"/>
    <col min="13581" max="13824" width="9.140625" style="75"/>
    <col min="13825" max="13825" width="5.140625" style="75" customWidth="1"/>
    <col min="13826" max="13826" width="1.7109375" style="75" customWidth="1"/>
    <col min="13827" max="13827" width="12" style="75" customWidth="1"/>
    <col min="13828" max="13830" width="13.7109375" style="75" customWidth="1"/>
    <col min="13831" max="13831" width="5.7109375" style="75" customWidth="1"/>
    <col min="13832" max="13832" width="7.85546875" style="75" customWidth="1"/>
    <col min="13833" max="13834" width="13.7109375" style="75" customWidth="1"/>
    <col min="13835" max="13835" width="3.28515625" style="75" customWidth="1"/>
    <col min="13836" max="13836" width="2.140625" style="75" customWidth="1"/>
    <col min="13837" max="14080" width="9.140625" style="75"/>
    <col min="14081" max="14081" width="5.140625" style="75" customWidth="1"/>
    <col min="14082" max="14082" width="1.7109375" style="75" customWidth="1"/>
    <col min="14083" max="14083" width="12" style="75" customWidth="1"/>
    <col min="14084" max="14086" width="13.7109375" style="75" customWidth="1"/>
    <col min="14087" max="14087" width="5.7109375" style="75" customWidth="1"/>
    <col min="14088" max="14088" width="7.85546875" style="75" customWidth="1"/>
    <col min="14089" max="14090" width="13.7109375" style="75" customWidth="1"/>
    <col min="14091" max="14091" width="3.28515625" style="75" customWidth="1"/>
    <col min="14092" max="14092" width="2.140625" style="75" customWidth="1"/>
    <col min="14093" max="14336" width="9.140625" style="75"/>
    <col min="14337" max="14337" width="5.140625" style="75" customWidth="1"/>
    <col min="14338" max="14338" width="1.7109375" style="75" customWidth="1"/>
    <col min="14339" max="14339" width="12" style="75" customWidth="1"/>
    <col min="14340" max="14342" width="13.7109375" style="75" customWidth="1"/>
    <col min="14343" max="14343" width="5.7109375" style="75" customWidth="1"/>
    <col min="14344" max="14344" width="7.85546875" style="75" customWidth="1"/>
    <col min="14345" max="14346" width="13.7109375" style="75" customWidth="1"/>
    <col min="14347" max="14347" width="3.28515625" style="75" customWidth="1"/>
    <col min="14348" max="14348" width="2.140625" style="75" customWidth="1"/>
    <col min="14349" max="14592" width="9.140625" style="75"/>
    <col min="14593" max="14593" width="5.140625" style="75" customWidth="1"/>
    <col min="14594" max="14594" width="1.7109375" style="75" customWidth="1"/>
    <col min="14595" max="14595" width="12" style="75" customWidth="1"/>
    <col min="14596" max="14598" width="13.7109375" style="75" customWidth="1"/>
    <col min="14599" max="14599" width="5.7109375" style="75" customWidth="1"/>
    <col min="14600" max="14600" width="7.85546875" style="75" customWidth="1"/>
    <col min="14601" max="14602" width="13.7109375" style="75" customWidth="1"/>
    <col min="14603" max="14603" width="3.28515625" style="75" customWidth="1"/>
    <col min="14604" max="14604" width="2.140625" style="75" customWidth="1"/>
    <col min="14605" max="14848" width="9.140625" style="75"/>
    <col min="14849" max="14849" width="5.140625" style="75" customWidth="1"/>
    <col min="14850" max="14850" width="1.7109375" style="75" customWidth="1"/>
    <col min="14851" max="14851" width="12" style="75" customWidth="1"/>
    <col min="14852" max="14854" width="13.7109375" style="75" customWidth="1"/>
    <col min="14855" max="14855" width="5.7109375" style="75" customWidth="1"/>
    <col min="14856" max="14856" width="7.85546875" style="75" customWidth="1"/>
    <col min="14857" max="14858" width="13.7109375" style="75" customWidth="1"/>
    <col min="14859" max="14859" width="3.28515625" style="75" customWidth="1"/>
    <col min="14860" max="14860" width="2.140625" style="75" customWidth="1"/>
    <col min="14861" max="15104" width="9.140625" style="75"/>
    <col min="15105" max="15105" width="5.140625" style="75" customWidth="1"/>
    <col min="15106" max="15106" width="1.7109375" style="75" customWidth="1"/>
    <col min="15107" max="15107" width="12" style="75" customWidth="1"/>
    <col min="15108" max="15110" width="13.7109375" style="75" customWidth="1"/>
    <col min="15111" max="15111" width="5.7109375" style="75" customWidth="1"/>
    <col min="15112" max="15112" width="7.85546875" style="75" customWidth="1"/>
    <col min="15113" max="15114" width="13.7109375" style="75" customWidth="1"/>
    <col min="15115" max="15115" width="3.28515625" style="75" customWidth="1"/>
    <col min="15116" max="15116" width="2.140625" style="75" customWidth="1"/>
    <col min="15117" max="15360" width="9.140625" style="75"/>
    <col min="15361" max="15361" width="5.140625" style="75" customWidth="1"/>
    <col min="15362" max="15362" width="1.7109375" style="75" customWidth="1"/>
    <col min="15363" max="15363" width="12" style="75" customWidth="1"/>
    <col min="15364" max="15366" width="13.7109375" style="75" customWidth="1"/>
    <col min="15367" max="15367" width="5.7109375" style="75" customWidth="1"/>
    <col min="15368" max="15368" width="7.85546875" style="75" customWidth="1"/>
    <col min="15369" max="15370" width="13.7109375" style="75" customWidth="1"/>
    <col min="15371" max="15371" width="3.28515625" style="75" customWidth="1"/>
    <col min="15372" max="15372" width="2.140625" style="75" customWidth="1"/>
    <col min="15373" max="15616" width="9.140625" style="75"/>
    <col min="15617" max="15617" width="5.140625" style="75" customWidth="1"/>
    <col min="15618" max="15618" width="1.7109375" style="75" customWidth="1"/>
    <col min="15619" max="15619" width="12" style="75" customWidth="1"/>
    <col min="15620" max="15622" width="13.7109375" style="75" customWidth="1"/>
    <col min="15623" max="15623" width="5.7109375" style="75" customWidth="1"/>
    <col min="15624" max="15624" width="7.85546875" style="75" customWidth="1"/>
    <col min="15625" max="15626" width="13.7109375" style="75" customWidth="1"/>
    <col min="15627" max="15627" width="3.28515625" style="75" customWidth="1"/>
    <col min="15628" max="15628" width="2.140625" style="75" customWidth="1"/>
    <col min="15629" max="15872" width="9.140625" style="75"/>
    <col min="15873" max="15873" width="5.140625" style="75" customWidth="1"/>
    <col min="15874" max="15874" width="1.7109375" style="75" customWidth="1"/>
    <col min="15875" max="15875" width="12" style="75" customWidth="1"/>
    <col min="15876" max="15878" width="13.7109375" style="75" customWidth="1"/>
    <col min="15879" max="15879" width="5.7109375" style="75" customWidth="1"/>
    <col min="15880" max="15880" width="7.85546875" style="75" customWidth="1"/>
    <col min="15881" max="15882" width="13.7109375" style="75" customWidth="1"/>
    <col min="15883" max="15883" width="3.28515625" style="75" customWidth="1"/>
    <col min="15884" max="15884" width="2.140625" style="75" customWidth="1"/>
    <col min="15885" max="16128" width="9.140625" style="75"/>
    <col min="16129" max="16129" width="5.140625" style="75" customWidth="1"/>
    <col min="16130" max="16130" width="1.7109375" style="75" customWidth="1"/>
    <col min="16131" max="16131" width="12" style="75" customWidth="1"/>
    <col min="16132" max="16134" width="13.7109375" style="75" customWidth="1"/>
    <col min="16135" max="16135" width="5.7109375" style="75" customWidth="1"/>
    <col min="16136" max="16136" width="7.85546875" style="75" customWidth="1"/>
    <col min="16137" max="16138" width="13.7109375" style="75" customWidth="1"/>
    <col min="16139" max="16139" width="3.28515625" style="75" customWidth="1"/>
    <col min="16140" max="16140" width="2.140625" style="75" customWidth="1"/>
    <col min="16141" max="16384" width="9.140625" style="75"/>
  </cols>
  <sheetData>
    <row r="1" spans="2:10" ht="17.25" customHeight="1" x14ac:dyDescent="0.2"/>
    <row r="2" spans="2:10" ht="18" customHeight="1" x14ac:dyDescent="0.2">
      <c r="C2" s="137" t="s">
        <v>438</v>
      </c>
      <c r="D2" s="126"/>
      <c r="E2" s="126"/>
      <c r="F2" s="126"/>
      <c r="G2" s="126"/>
    </row>
    <row r="3" spans="2:10" ht="21.95" customHeight="1" x14ac:dyDescent="0.2"/>
    <row r="4" spans="2:10" ht="18" customHeight="1" x14ac:dyDescent="0.2"/>
    <row r="5" spans="2:10" ht="38.25" x14ac:dyDescent="0.2">
      <c r="B5" s="141" t="s">
        <v>439</v>
      </c>
      <c r="C5" s="126"/>
      <c r="D5" s="76" t="s">
        <v>440</v>
      </c>
      <c r="E5" s="76" t="s">
        <v>441</v>
      </c>
      <c r="F5" s="76" t="s">
        <v>442</v>
      </c>
      <c r="G5" s="141" t="s">
        <v>443</v>
      </c>
      <c r="H5" s="126"/>
      <c r="I5" s="76" t="s">
        <v>444</v>
      </c>
    </row>
    <row r="6" spans="2:10" ht="14.25" x14ac:dyDescent="0.2">
      <c r="B6" s="141" t="s">
        <v>445</v>
      </c>
      <c r="C6" s="126"/>
      <c r="D6" s="76" t="s">
        <v>446</v>
      </c>
      <c r="E6" s="76" t="s">
        <v>447</v>
      </c>
      <c r="F6" s="76" t="s">
        <v>448</v>
      </c>
      <c r="G6" s="141" t="s">
        <v>449</v>
      </c>
      <c r="H6" s="126"/>
      <c r="I6" s="77">
        <v>2025</v>
      </c>
    </row>
    <row r="7" spans="2:10" ht="9.6" customHeight="1" x14ac:dyDescent="0.2"/>
    <row r="8" spans="2:10" ht="18" customHeight="1" x14ac:dyDescent="0.2">
      <c r="B8" s="142" t="s">
        <v>450</v>
      </c>
      <c r="C8" s="126"/>
      <c r="D8" s="126"/>
      <c r="E8" s="139"/>
      <c r="F8" s="126"/>
      <c r="G8" s="126"/>
      <c r="H8" s="126"/>
      <c r="I8" s="126"/>
    </row>
    <row r="9" spans="2:10" ht="18" customHeight="1" x14ac:dyDescent="0.2">
      <c r="B9" s="139" t="s">
        <v>451</v>
      </c>
      <c r="C9" s="126"/>
      <c r="D9" s="126"/>
      <c r="E9" s="139"/>
      <c r="F9" s="126"/>
      <c r="G9" s="126"/>
      <c r="H9" s="126"/>
      <c r="I9" s="126"/>
    </row>
    <row r="10" spans="2:10" ht="18" customHeight="1" x14ac:dyDescent="0.2">
      <c r="B10" s="139" t="s">
        <v>452</v>
      </c>
      <c r="C10" s="126"/>
      <c r="D10" s="126"/>
      <c r="E10" s="140" t="s">
        <v>453</v>
      </c>
      <c r="F10" s="126"/>
      <c r="G10" s="126"/>
      <c r="H10" s="126"/>
      <c r="I10" s="126"/>
    </row>
    <row r="11" spans="2:10" ht="18" customHeight="1" x14ac:dyDescent="0.2">
      <c r="B11" s="139" t="s">
        <v>454</v>
      </c>
      <c r="C11" s="126"/>
      <c r="D11" s="126"/>
      <c r="E11" s="140" t="s">
        <v>455</v>
      </c>
      <c r="F11" s="126"/>
      <c r="G11" s="126"/>
      <c r="H11" s="126"/>
      <c r="I11" s="126"/>
    </row>
    <row r="12" spans="2:10" ht="18" customHeight="1" x14ac:dyDescent="0.2">
      <c r="B12" s="139" t="s">
        <v>456</v>
      </c>
      <c r="C12" s="126"/>
      <c r="D12" s="126"/>
      <c r="E12" s="139" t="s">
        <v>457</v>
      </c>
      <c r="F12" s="126"/>
      <c r="G12" s="126"/>
      <c r="H12" s="126"/>
      <c r="I12" s="126"/>
    </row>
    <row r="13" spans="2:10" ht="9.75" customHeight="1" x14ac:dyDescent="0.2">
      <c r="B13" s="139"/>
      <c r="C13" s="126"/>
      <c r="D13" s="126"/>
      <c r="E13" s="140" t="s">
        <v>458</v>
      </c>
      <c r="F13" s="126"/>
      <c r="G13" s="126"/>
      <c r="H13" s="126"/>
      <c r="I13" s="126"/>
    </row>
    <row r="14" spans="2:10" ht="3.75" customHeight="1" x14ac:dyDescent="0.2"/>
    <row r="15" spans="2:10" ht="18" customHeight="1" x14ac:dyDescent="0.2">
      <c r="B15" s="145" t="s">
        <v>459</v>
      </c>
      <c r="C15" s="133"/>
      <c r="D15" s="133"/>
      <c r="E15" s="133"/>
      <c r="F15" s="133"/>
      <c r="G15" s="133"/>
      <c r="H15" s="133"/>
      <c r="I15" s="133"/>
      <c r="J15" s="124"/>
    </row>
    <row r="16" spans="2:10" x14ac:dyDescent="0.2">
      <c r="B16" s="138" t="s">
        <v>460</v>
      </c>
      <c r="C16" s="133"/>
      <c r="D16" s="124"/>
      <c r="E16" s="138" t="s">
        <v>461</v>
      </c>
      <c r="F16" s="124"/>
      <c r="G16" s="138" t="s">
        <v>462</v>
      </c>
      <c r="H16" s="124"/>
      <c r="I16" s="78" t="s">
        <v>463</v>
      </c>
      <c r="J16" s="78" t="s">
        <v>464</v>
      </c>
    </row>
    <row r="17" spans="2:10" ht="27.75" customHeight="1" x14ac:dyDescent="0.2">
      <c r="B17" s="143" t="s">
        <v>465</v>
      </c>
      <c r="C17" s="133"/>
      <c r="D17" s="124"/>
      <c r="E17" s="143"/>
      <c r="F17" s="124"/>
      <c r="G17" s="144"/>
      <c r="H17" s="124"/>
      <c r="I17" s="79"/>
      <c r="J17" s="79"/>
    </row>
    <row r="18" spans="2:10" ht="7.5" customHeight="1" x14ac:dyDescent="0.2"/>
    <row r="19" spans="2:10" ht="18" customHeight="1" x14ac:dyDescent="0.2">
      <c r="B19" s="145" t="s">
        <v>466</v>
      </c>
      <c r="C19" s="133"/>
      <c r="D19" s="133"/>
      <c r="E19" s="133"/>
      <c r="F19" s="133"/>
      <c r="G19" s="133"/>
      <c r="H19" s="133"/>
      <c r="I19" s="133"/>
      <c r="J19" s="124"/>
    </row>
    <row r="20" spans="2:10" x14ac:dyDescent="0.2">
      <c r="B20" s="138" t="s">
        <v>460</v>
      </c>
      <c r="C20" s="133"/>
      <c r="D20" s="124"/>
      <c r="E20" s="138" t="s">
        <v>461</v>
      </c>
      <c r="F20" s="124"/>
      <c r="G20" s="138" t="s">
        <v>462</v>
      </c>
      <c r="H20" s="124"/>
      <c r="I20" s="78" t="s">
        <v>463</v>
      </c>
      <c r="J20" s="78" t="s">
        <v>464</v>
      </c>
    </row>
    <row r="21" spans="2:10" ht="27.75" customHeight="1" x14ac:dyDescent="0.2">
      <c r="B21" s="143" t="s">
        <v>465</v>
      </c>
      <c r="C21" s="133"/>
      <c r="D21" s="124"/>
      <c r="E21" s="143"/>
      <c r="F21" s="124"/>
      <c r="G21" s="144"/>
      <c r="H21" s="124"/>
      <c r="I21" s="79"/>
      <c r="J21" s="79"/>
    </row>
    <row r="22" spans="2:10" ht="9.9499999999999993" customHeight="1" x14ac:dyDescent="0.2"/>
    <row r="23" spans="2:10" ht="18" customHeight="1" x14ac:dyDescent="0.2">
      <c r="B23" s="145" t="s">
        <v>467</v>
      </c>
      <c r="C23" s="133"/>
      <c r="D23" s="133"/>
      <c r="E23" s="133"/>
      <c r="F23" s="133"/>
      <c r="G23" s="133"/>
      <c r="H23" s="133"/>
      <c r="I23" s="133"/>
      <c r="J23" s="124"/>
    </row>
    <row r="24" spans="2:10" x14ac:dyDescent="0.2">
      <c r="B24" s="138" t="s">
        <v>460</v>
      </c>
      <c r="C24" s="133"/>
      <c r="D24" s="124"/>
      <c r="E24" s="138" t="s">
        <v>461</v>
      </c>
      <c r="F24" s="124"/>
      <c r="G24" s="138" t="s">
        <v>462</v>
      </c>
      <c r="H24" s="124"/>
      <c r="I24" s="78" t="s">
        <v>463</v>
      </c>
      <c r="J24" s="78" t="s">
        <v>464</v>
      </c>
    </row>
    <row r="25" spans="2:10" ht="27.75" customHeight="1" x14ac:dyDescent="0.2">
      <c r="B25" s="143" t="s">
        <v>465</v>
      </c>
      <c r="C25" s="133"/>
      <c r="D25" s="124"/>
      <c r="E25" s="143"/>
      <c r="F25" s="124"/>
      <c r="G25" s="144"/>
      <c r="H25" s="124"/>
      <c r="I25" s="79"/>
      <c r="J25" s="79"/>
    </row>
    <row r="26" spans="2:10" ht="9.1999999999999993" customHeight="1" x14ac:dyDescent="0.2"/>
    <row r="27" spans="2:10" ht="18" customHeight="1" x14ac:dyDescent="0.2">
      <c r="B27" s="145" t="s">
        <v>468</v>
      </c>
      <c r="C27" s="133"/>
      <c r="D27" s="133"/>
      <c r="E27" s="133"/>
      <c r="F27" s="133"/>
      <c r="G27" s="133"/>
      <c r="H27" s="133"/>
      <c r="I27" s="133"/>
      <c r="J27" s="124"/>
    </row>
    <row r="28" spans="2:10" x14ac:dyDescent="0.2">
      <c r="B28" s="138" t="s">
        <v>460</v>
      </c>
      <c r="C28" s="133"/>
      <c r="D28" s="124"/>
      <c r="E28" s="138" t="s">
        <v>461</v>
      </c>
      <c r="F28" s="124"/>
      <c r="G28" s="138" t="s">
        <v>462</v>
      </c>
      <c r="H28" s="124"/>
      <c r="I28" s="78" t="s">
        <v>463</v>
      </c>
      <c r="J28" s="78" t="s">
        <v>464</v>
      </c>
    </row>
    <row r="29" spans="2:10" ht="27.75" customHeight="1" x14ac:dyDescent="0.2">
      <c r="B29" s="143" t="s">
        <v>469</v>
      </c>
      <c r="C29" s="133"/>
      <c r="D29" s="124"/>
      <c r="E29" s="143" t="s">
        <v>470</v>
      </c>
      <c r="F29" s="124"/>
      <c r="G29" s="144">
        <v>78.646000000000001</v>
      </c>
      <c r="H29" s="124"/>
      <c r="I29" s="79" t="s">
        <v>471</v>
      </c>
      <c r="J29" s="79" t="s">
        <v>472</v>
      </c>
    </row>
    <row r="30" spans="2:10" ht="27.75" customHeight="1" x14ac:dyDescent="0.2">
      <c r="B30" s="143" t="s">
        <v>469</v>
      </c>
      <c r="C30" s="133"/>
      <c r="D30" s="124"/>
      <c r="E30" s="143" t="s">
        <v>473</v>
      </c>
      <c r="F30" s="124"/>
      <c r="G30" s="144">
        <v>78.646000000000001</v>
      </c>
      <c r="H30" s="124"/>
      <c r="I30" s="79"/>
      <c r="J30" s="79" t="s">
        <v>474</v>
      </c>
    </row>
    <row r="31" spans="2:10" ht="27.75" customHeight="1" x14ac:dyDescent="0.2">
      <c r="B31" s="143" t="s">
        <v>475</v>
      </c>
      <c r="C31" s="133"/>
      <c r="D31" s="124"/>
      <c r="E31" s="143" t="s">
        <v>470</v>
      </c>
      <c r="F31" s="124"/>
      <c r="G31" s="144">
        <v>13.643000000000001</v>
      </c>
      <c r="H31" s="124"/>
      <c r="I31" s="79" t="s">
        <v>476</v>
      </c>
      <c r="J31" s="79" t="s">
        <v>477</v>
      </c>
    </row>
    <row r="32" spans="2:10" ht="27.75" customHeight="1" x14ac:dyDescent="0.2">
      <c r="B32" s="143" t="s">
        <v>475</v>
      </c>
      <c r="C32" s="133"/>
      <c r="D32" s="124"/>
      <c r="E32" s="143" t="s">
        <v>473</v>
      </c>
      <c r="F32" s="124"/>
      <c r="G32" s="144">
        <v>13.643000000000001</v>
      </c>
      <c r="H32" s="124"/>
      <c r="I32" s="79"/>
      <c r="J32" s="79" t="s">
        <v>474</v>
      </c>
    </row>
    <row r="33" spans="2:11" ht="27.75" customHeight="1" x14ac:dyDescent="0.2">
      <c r="B33" s="143" t="s">
        <v>30</v>
      </c>
      <c r="C33" s="133"/>
      <c r="D33" s="124"/>
      <c r="E33" s="143" t="s">
        <v>470</v>
      </c>
      <c r="F33" s="124"/>
      <c r="G33" s="144">
        <v>13.999000000000001</v>
      </c>
      <c r="H33" s="124"/>
      <c r="I33" s="79"/>
      <c r="J33" s="79" t="s">
        <v>474</v>
      </c>
    </row>
    <row r="34" spans="2:11" ht="27.75" customHeight="1" x14ac:dyDescent="0.2">
      <c r="B34" s="143" t="s">
        <v>30</v>
      </c>
      <c r="C34" s="133"/>
      <c r="D34" s="124"/>
      <c r="E34" s="143" t="s">
        <v>473</v>
      </c>
      <c r="F34" s="124"/>
      <c r="G34" s="144">
        <v>13.999000000000001</v>
      </c>
      <c r="H34" s="124"/>
      <c r="I34" s="79"/>
      <c r="J34" s="79" t="s">
        <v>474</v>
      </c>
    </row>
    <row r="35" spans="2:11" ht="27.75" customHeight="1" x14ac:dyDescent="0.2">
      <c r="B35" s="143" t="s">
        <v>30</v>
      </c>
      <c r="C35" s="133"/>
      <c r="D35" s="124"/>
      <c r="E35" s="143" t="s">
        <v>478</v>
      </c>
      <c r="F35" s="124"/>
      <c r="G35" s="144">
        <v>0.125</v>
      </c>
      <c r="H35" s="124"/>
      <c r="I35" s="79" t="s">
        <v>479</v>
      </c>
      <c r="J35" s="79" t="s">
        <v>480</v>
      </c>
    </row>
    <row r="36" spans="2:11" ht="27.75" customHeight="1" x14ac:dyDescent="0.2">
      <c r="B36" s="143" t="s">
        <v>481</v>
      </c>
      <c r="C36" s="133"/>
      <c r="D36" s="124"/>
      <c r="E36" s="143" t="s">
        <v>470</v>
      </c>
      <c r="F36" s="124"/>
      <c r="G36" s="144">
        <v>0.57499999999999996</v>
      </c>
      <c r="H36" s="124"/>
      <c r="I36" s="79" t="s">
        <v>482</v>
      </c>
      <c r="J36" s="79" t="s">
        <v>483</v>
      </c>
    </row>
    <row r="37" spans="2:11" ht="27.75" customHeight="1" x14ac:dyDescent="0.2">
      <c r="B37" s="143" t="s">
        <v>484</v>
      </c>
      <c r="C37" s="133"/>
      <c r="D37" s="124"/>
      <c r="E37" s="143" t="s">
        <v>470</v>
      </c>
      <c r="F37" s="124"/>
      <c r="G37" s="144">
        <v>10.519</v>
      </c>
      <c r="H37" s="124"/>
      <c r="I37" s="79" t="s">
        <v>482</v>
      </c>
      <c r="J37" s="79" t="s">
        <v>485</v>
      </c>
    </row>
    <row r="38" spans="2:11" ht="27.75" customHeight="1" x14ac:dyDescent="0.2">
      <c r="B38" s="143" t="s">
        <v>486</v>
      </c>
      <c r="C38" s="133"/>
      <c r="D38" s="124"/>
      <c r="E38" s="143" t="s">
        <v>470</v>
      </c>
      <c r="F38" s="124"/>
      <c r="G38" s="144">
        <v>2.9049999999999998</v>
      </c>
      <c r="H38" s="124"/>
      <c r="I38" s="79" t="s">
        <v>487</v>
      </c>
      <c r="J38" s="79" t="s">
        <v>488</v>
      </c>
    </row>
    <row r="39" spans="2:11" ht="27.75" customHeight="1" x14ac:dyDescent="0.2">
      <c r="B39" s="143" t="s">
        <v>489</v>
      </c>
      <c r="C39" s="133"/>
      <c r="D39" s="124"/>
      <c r="E39" s="143" t="s">
        <v>470</v>
      </c>
      <c r="F39" s="124"/>
      <c r="G39" s="144">
        <v>0.71399999999999997</v>
      </c>
      <c r="H39" s="124"/>
      <c r="I39" s="79"/>
      <c r="J39" s="79" t="s">
        <v>474</v>
      </c>
    </row>
    <row r="40" spans="2:11" ht="27.75" customHeight="1" x14ac:dyDescent="0.2">
      <c r="B40" s="143" t="s">
        <v>489</v>
      </c>
      <c r="C40" s="133"/>
      <c r="D40" s="124"/>
      <c r="E40" s="143" t="s">
        <v>473</v>
      </c>
      <c r="F40" s="124"/>
      <c r="G40" s="144">
        <v>0.71399999999999997</v>
      </c>
      <c r="H40" s="124"/>
      <c r="I40" s="79"/>
      <c r="J40" s="79" t="s">
        <v>474</v>
      </c>
    </row>
    <row r="41" spans="2:11" ht="27.75" customHeight="1" x14ac:dyDescent="0.2">
      <c r="B41" s="143" t="s">
        <v>490</v>
      </c>
      <c r="C41" s="133"/>
      <c r="D41" s="124"/>
      <c r="E41" s="143" t="s">
        <v>470</v>
      </c>
      <c r="F41" s="124"/>
      <c r="G41" s="144">
        <v>0.71399999999999997</v>
      </c>
      <c r="H41" s="124"/>
      <c r="I41" s="79" t="s">
        <v>482</v>
      </c>
      <c r="J41" s="79" t="s">
        <v>491</v>
      </c>
    </row>
    <row r="42" spans="2:11" ht="27.75" customHeight="1" x14ac:dyDescent="0.2">
      <c r="B42" s="143" t="s">
        <v>492</v>
      </c>
      <c r="C42" s="133"/>
      <c r="D42" s="124"/>
      <c r="E42" s="143" t="s">
        <v>470</v>
      </c>
      <c r="F42" s="124"/>
      <c r="G42" s="144">
        <v>3.9870000000000001</v>
      </c>
      <c r="H42" s="124"/>
      <c r="I42" s="79" t="s">
        <v>493</v>
      </c>
      <c r="J42" s="79" t="s">
        <v>494</v>
      </c>
    </row>
    <row r="43" spans="2:11" ht="27.75" customHeight="1" x14ac:dyDescent="0.2">
      <c r="B43" s="143" t="s">
        <v>492</v>
      </c>
      <c r="C43" s="133"/>
      <c r="D43" s="124"/>
      <c r="E43" s="143" t="s">
        <v>473</v>
      </c>
      <c r="F43" s="124"/>
      <c r="G43" s="144">
        <v>3.9870000000000001</v>
      </c>
      <c r="H43" s="124"/>
      <c r="I43" s="79"/>
      <c r="J43" s="79" t="s">
        <v>474</v>
      </c>
    </row>
    <row r="44" spans="2:11" ht="27.75" customHeight="1" x14ac:dyDescent="0.2">
      <c r="B44" s="143" t="s">
        <v>492</v>
      </c>
      <c r="C44" s="133"/>
      <c r="D44" s="124"/>
      <c r="E44" s="143" t="s">
        <v>478</v>
      </c>
      <c r="F44" s="124"/>
      <c r="G44" s="144">
        <v>3.9870000000000001</v>
      </c>
      <c r="H44" s="124"/>
      <c r="I44" s="79" t="s">
        <v>479</v>
      </c>
      <c r="J44" s="79" t="s">
        <v>495</v>
      </c>
    </row>
    <row r="45" spans="2:11" ht="9.6" customHeight="1" x14ac:dyDescent="0.2"/>
    <row r="46" spans="2:11" ht="15" x14ac:dyDescent="0.2">
      <c r="B46" s="145" t="s">
        <v>496</v>
      </c>
      <c r="C46" s="133"/>
      <c r="D46" s="133"/>
      <c r="E46" s="133"/>
      <c r="F46" s="133"/>
      <c r="G46" s="133"/>
      <c r="H46" s="133"/>
      <c r="I46" s="133"/>
      <c r="J46" s="124"/>
      <c r="K46" s="80"/>
    </row>
    <row r="47" spans="2:11" x14ac:dyDescent="0.2">
      <c r="B47" s="138" t="s">
        <v>460</v>
      </c>
      <c r="C47" s="133"/>
      <c r="D47" s="124"/>
      <c r="E47" s="138" t="s">
        <v>461</v>
      </c>
      <c r="F47" s="124"/>
      <c r="G47" s="138" t="s">
        <v>462</v>
      </c>
      <c r="H47" s="124"/>
      <c r="I47" s="78" t="s">
        <v>463</v>
      </c>
      <c r="J47" s="78" t="s">
        <v>464</v>
      </c>
      <c r="K47" s="81"/>
    </row>
    <row r="48" spans="2:11" ht="27.75" customHeight="1" x14ac:dyDescent="0.2">
      <c r="B48" s="143" t="s">
        <v>465</v>
      </c>
      <c r="C48" s="133"/>
      <c r="D48" s="124"/>
      <c r="E48" s="143" t="e">
        <v>#VALUE!</v>
      </c>
      <c r="F48" s="124"/>
      <c r="G48" s="144"/>
      <c r="H48" s="124"/>
      <c r="I48" s="79"/>
      <c r="J48" s="79"/>
      <c r="K48" s="82"/>
    </row>
    <row r="49" spans="2:10" ht="2.65" customHeight="1" x14ac:dyDescent="0.2"/>
    <row r="50" spans="2:10" ht="18" customHeight="1" x14ac:dyDescent="0.2">
      <c r="B50" s="139" t="s">
        <v>497</v>
      </c>
      <c r="C50" s="126"/>
      <c r="D50" s="126"/>
      <c r="E50" s="126"/>
      <c r="F50" s="126"/>
      <c r="G50" s="126"/>
      <c r="H50" s="126"/>
      <c r="I50" s="126"/>
      <c r="J50" s="126"/>
    </row>
    <row r="51" spans="2:10" ht="8.65" customHeight="1" x14ac:dyDescent="0.2"/>
    <row r="52" spans="2:10" ht="18" customHeight="1" x14ac:dyDescent="0.2">
      <c r="B52" s="145" t="s">
        <v>498</v>
      </c>
      <c r="C52" s="133"/>
      <c r="D52" s="133"/>
      <c r="E52" s="133"/>
      <c r="F52" s="133"/>
      <c r="G52" s="133"/>
      <c r="H52" s="133"/>
      <c r="I52" s="133"/>
      <c r="J52" s="124"/>
    </row>
    <row r="53" spans="2:10" x14ac:dyDescent="0.2">
      <c r="B53" s="138" t="s">
        <v>460</v>
      </c>
      <c r="C53" s="133"/>
      <c r="D53" s="124"/>
      <c r="E53" s="138" t="s">
        <v>461</v>
      </c>
      <c r="F53" s="124"/>
      <c r="G53" s="138" t="s">
        <v>462</v>
      </c>
      <c r="H53" s="124"/>
      <c r="I53" s="78" t="s">
        <v>463</v>
      </c>
      <c r="J53" s="78" t="s">
        <v>464</v>
      </c>
    </row>
    <row r="54" spans="2:10" ht="27.75" customHeight="1" x14ac:dyDescent="0.2">
      <c r="B54" s="143" t="s">
        <v>465</v>
      </c>
      <c r="C54" s="133"/>
      <c r="D54" s="124"/>
      <c r="E54" s="143"/>
      <c r="F54" s="124"/>
      <c r="G54" s="144"/>
      <c r="H54" s="124"/>
      <c r="I54" s="79"/>
      <c r="J54" s="79"/>
    </row>
  </sheetData>
  <mergeCells count="105">
    <mergeCell ref="B50:J50"/>
    <mergeCell ref="B52:J52"/>
    <mergeCell ref="B53:D53"/>
    <mergeCell ref="E53:F53"/>
    <mergeCell ref="G53:H53"/>
    <mergeCell ref="B54:D54"/>
    <mergeCell ref="E54:F54"/>
    <mergeCell ref="G54:H54"/>
    <mergeCell ref="B46:J46"/>
    <mergeCell ref="B47:D47"/>
    <mergeCell ref="E47:F47"/>
    <mergeCell ref="G47:H47"/>
    <mergeCell ref="B48:D48"/>
    <mergeCell ref="E48:F48"/>
    <mergeCell ref="G48:H48"/>
    <mergeCell ref="B43:D43"/>
    <mergeCell ref="E43:F43"/>
    <mergeCell ref="G43:H43"/>
    <mergeCell ref="B44:D44"/>
    <mergeCell ref="E44:F44"/>
    <mergeCell ref="G44:H44"/>
    <mergeCell ref="B41:D41"/>
    <mergeCell ref="E41:F41"/>
    <mergeCell ref="G41:H41"/>
    <mergeCell ref="B42:D42"/>
    <mergeCell ref="E42:F42"/>
    <mergeCell ref="G42:H42"/>
    <mergeCell ref="B39:D39"/>
    <mergeCell ref="E39:F39"/>
    <mergeCell ref="G39:H39"/>
    <mergeCell ref="B40:D40"/>
    <mergeCell ref="E40:F40"/>
    <mergeCell ref="G40:H40"/>
    <mergeCell ref="B37:D37"/>
    <mergeCell ref="E37:F37"/>
    <mergeCell ref="G37:H37"/>
    <mergeCell ref="B38:D38"/>
    <mergeCell ref="E38:F38"/>
    <mergeCell ref="G38:H38"/>
    <mergeCell ref="B35:D35"/>
    <mergeCell ref="E35:F35"/>
    <mergeCell ref="G35:H35"/>
    <mergeCell ref="B36:D36"/>
    <mergeCell ref="E36:F36"/>
    <mergeCell ref="G36:H36"/>
    <mergeCell ref="B33:D33"/>
    <mergeCell ref="E33:F33"/>
    <mergeCell ref="G33:H33"/>
    <mergeCell ref="B34:D34"/>
    <mergeCell ref="E34:F34"/>
    <mergeCell ref="G34:H34"/>
    <mergeCell ref="B31:D31"/>
    <mergeCell ref="E31:F31"/>
    <mergeCell ref="G31:H31"/>
    <mergeCell ref="B32:D32"/>
    <mergeCell ref="E32:F32"/>
    <mergeCell ref="G32:H32"/>
    <mergeCell ref="B29:D29"/>
    <mergeCell ref="E29:F29"/>
    <mergeCell ref="G29:H29"/>
    <mergeCell ref="B30:D30"/>
    <mergeCell ref="E30:F30"/>
    <mergeCell ref="G30:H30"/>
    <mergeCell ref="B25:D25"/>
    <mergeCell ref="E25:F25"/>
    <mergeCell ref="G25:H25"/>
    <mergeCell ref="B27:J27"/>
    <mergeCell ref="B28:D28"/>
    <mergeCell ref="E28:F28"/>
    <mergeCell ref="G28:H28"/>
    <mergeCell ref="B21:D21"/>
    <mergeCell ref="E21:F21"/>
    <mergeCell ref="G21:H21"/>
    <mergeCell ref="B23:J23"/>
    <mergeCell ref="B24:D24"/>
    <mergeCell ref="E24:F24"/>
    <mergeCell ref="G24:H24"/>
    <mergeCell ref="B17:D17"/>
    <mergeCell ref="E17:F17"/>
    <mergeCell ref="G17:H17"/>
    <mergeCell ref="B19:J19"/>
    <mergeCell ref="B20:D20"/>
    <mergeCell ref="E20:F20"/>
    <mergeCell ref="G20:H20"/>
    <mergeCell ref="B12:D12"/>
    <mergeCell ref="E12:I12"/>
    <mergeCell ref="B13:D13"/>
    <mergeCell ref="E13:I13"/>
    <mergeCell ref="B15:J15"/>
    <mergeCell ref="B16:D16"/>
    <mergeCell ref="E16:F16"/>
    <mergeCell ref="G16:H16"/>
    <mergeCell ref="B9:D9"/>
    <mergeCell ref="E9:I9"/>
    <mergeCell ref="B10:D10"/>
    <mergeCell ref="E10:I10"/>
    <mergeCell ref="B11:D11"/>
    <mergeCell ref="E11:I11"/>
    <mergeCell ref="C2:G2"/>
    <mergeCell ref="B5:C5"/>
    <mergeCell ref="G5:H5"/>
    <mergeCell ref="B6:C6"/>
    <mergeCell ref="G6:H6"/>
    <mergeCell ref="B8:D8"/>
    <mergeCell ref="E8:I8"/>
  </mergeCells>
  <pageMargins left="0" right="0" top="0" bottom="0" header="0" footer="0"/>
  <pageSetup paperSize="9" orientation="portrait" horizontalDpi="0" verticalDpi="0"/>
  <headerFooter alignWithMargins="0"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F7CF-4898-4BCB-BABF-F65CB91DA4E9}">
  <dimension ref="B2:D4"/>
  <sheetViews>
    <sheetView workbookViewId="0">
      <selection activeCell="J27" sqref="J27"/>
    </sheetView>
  </sheetViews>
  <sheetFormatPr defaultRowHeight="15" x14ac:dyDescent="0.25"/>
  <cols>
    <col min="2" max="2" width="11.140625" bestFit="1" customWidth="1"/>
  </cols>
  <sheetData>
    <row r="2" spans="2:4" x14ac:dyDescent="0.25">
      <c r="C2" t="s">
        <v>168</v>
      </c>
      <c r="D2" t="s">
        <v>171</v>
      </c>
    </row>
    <row r="3" spans="2:4" x14ac:dyDescent="0.25">
      <c r="B3" t="s">
        <v>170</v>
      </c>
      <c r="C3">
        <f>'Specs-HS'!A113</f>
        <v>34</v>
      </c>
      <c r="D3">
        <f>'Specs-HS'!A112</f>
        <v>105</v>
      </c>
    </row>
    <row r="4" spans="2:4" x14ac:dyDescent="0.25">
      <c r="B4" t="s">
        <v>169</v>
      </c>
      <c r="C4">
        <f>'Specs-WH'!A130</f>
        <v>46</v>
      </c>
      <c r="D4">
        <f>'Specs-WH'!A129</f>
        <v>126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58BA-C4F3-4250-8C34-1E460454D2BF}">
  <sheetPr filterMode="1"/>
  <dimension ref="A1:O319"/>
  <sheetViews>
    <sheetView zoomScale="190" zoomScaleNormal="190" workbookViewId="0">
      <pane ySplit="1" topLeftCell="A11" activePane="bottomLeft" state="frozen"/>
      <selection pane="bottomLeft" activeCell="I154" sqref="I154"/>
    </sheetView>
  </sheetViews>
  <sheetFormatPr defaultColWidth="9.5703125" defaultRowHeight="15" x14ac:dyDescent="0.25"/>
  <cols>
    <col min="1" max="1" width="13.85546875" bestFit="1" customWidth="1"/>
    <col min="2" max="2" width="48.28515625" bestFit="1" customWidth="1"/>
    <col min="3" max="3" width="13" bestFit="1" customWidth="1"/>
    <col min="4" max="4" width="26.7109375" bestFit="1" customWidth="1"/>
    <col min="5" max="5" width="11.7109375" bestFit="1" customWidth="1"/>
    <col min="6" max="6" width="10" bestFit="1" customWidth="1"/>
    <col min="7" max="7" width="10.85546875" bestFit="1" customWidth="1"/>
    <col min="8" max="8" width="10.7109375" bestFit="1" customWidth="1"/>
    <col min="9" max="9" width="10" bestFit="1" customWidth="1"/>
    <col min="10" max="10" width="27.5703125" bestFit="1" customWidth="1"/>
    <col min="11" max="11" width="10.7109375" bestFit="1" customWidth="1"/>
    <col min="12" max="12" width="10.28515625" style="56" bestFit="1" customWidth="1"/>
    <col min="13" max="13" width="9" style="56" bestFit="1" customWidth="1"/>
    <col min="14" max="14" width="10.140625" style="56" bestFit="1" customWidth="1"/>
    <col min="15" max="15" width="11.85546875" style="56" bestFit="1" customWidth="1"/>
  </cols>
  <sheetData>
    <row r="1" spans="1:15" ht="39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3" t="s">
        <v>11</v>
      </c>
      <c r="M1" s="53" t="s">
        <v>12</v>
      </c>
      <c r="N1" s="53" t="s">
        <v>13</v>
      </c>
      <c r="O1" s="53" t="s">
        <v>14</v>
      </c>
    </row>
    <row r="2" spans="1:15" hidden="1" x14ac:dyDescent="0.25">
      <c r="A2" s="4">
        <v>1090</v>
      </c>
      <c r="B2" s="5" t="s">
        <v>15</v>
      </c>
      <c r="C2" s="5" t="s">
        <v>16</v>
      </c>
      <c r="D2" s="5" t="s">
        <v>17</v>
      </c>
      <c r="E2" s="6" t="s">
        <v>18</v>
      </c>
      <c r="F2" s="7">
        <v>12</v>
      </c>
      <c r="G2" s="7">
        <v>176</v>
      </c>
      <c r="H2" s="6" t="s">
        <v>19</v>
      </c>
      <c r="I2" s="6" t="s">
        <v>25</v>
      </c>
      <c r="J2" s="6" t="s">
        <v>25</v>
      </c>
      <c r="K2" s="6" t="s">
        <v>26</v>
      </c>
      <c r="L2" s="54" t="s">
        <v>23</v>
      </c>
      <c r="M2" s="55">
        <v>61</v>
      </c>
      <c r="N2" s="54" t="s">
        <v>24</v>
      </c>
      <c r="O2" s="54">
        <v>1</v>
      </c>
    </row>
    <row r="3" spans="1:15" hidden="1" x14ac:dyDescent="0.25">
      <c r="A3" s="4">
        <v>1090</v>
      </c>
      <c r="B3" s="5" t="s">
        <v>15</v>
      </c>
      <c r="C3" s="5" t="s">
        <v>16</v>
      </c>
      <c r="D3" s="5" t="s">
        <v>17</v>
      </c>
      <c r="E3" s="6" t="s">
        <v>18</v>
      </c>
      <c r="F3" s="7">
        <v>12</v>
      </c>
      <c r="G3" s="7">
        <v>176</v>
      </c>
      <c r="H3" s="6" t="s">
        <v>27</v>
      </c>
      <c r="I3" s="6" t="s">
        <v>20</v>
      </c>
      <c r="J3" s="6" t="s">
        <v>28</v>
      </c>
      <c r="K3" s="6" t="s">
        <v>29</v>
      </c>
      <c r="L3" s="54" t="s">
        <v>23</v>
      </c>
      <c r="M3" s="55">
        <v>48.8</v>
      </c>
      <c r="N3" s="54" t="s">
        <v>24</v>
      </c>
      <c r="O3" s="54">
        <v>1</v>
      </c>
    </row>
    <row r="4" spans="1:15" hidden="1" x14ac:dyDescent="0.25">
      <c r="A4" s="4">
        <v>1090</v>
      </c>
      <c r="B4" s="5" t="s">
        <v>15</v>
      </c>
      <c r="C4" s="5" t="s">
        <v>16</v>
      </c>
      <c r="D4" s="5" t="s">
        <v>17</v>
      </c>
      <c r="E4" s="6" t="s">
        <v>18</v>
      </c>
      <c r="F4" s="7">
        <v>12</v>
      </c>
      <c r="G4" s="7">
        <v>176</v>
      </c>
      <c r="H4" s="6" t="s">
        <v>27</v>
      </c>
      <c r="I4" s="6" t="s">
        <v>30</v>
      </c>
      <c r="J4" s="6" t="s">
        <v>31</v>
      </c>
      <c r="K4" s="6" t="s">
        <v>32</v>
      </c>
      <c r="L4" s="54" t="s">
        <v>23</v>
      </c>
      <c r="M4" s="55">
        <v>21.2</v>
      </c>
      <c r="N4" s="54" t="s">
        <v>24</v>
      </c>
      <c r="O4" s="54">
        <v>1</v>
      </c>
    </row>
    <row r="5" spans="1:15" hidden="1" x14ac:dyDescent="0.25">
      <c r="A5" s="4">
        <v>1090</v>
      </c>
      <c r="B5" s="5" t="s">
        <v>15</v>
      </c>
      <c r="C5" s="5" t="s">
        <v>16</v>
      </c>
      <c r="D5" s="5" t="s">
        <v>17</v>
      </c>
      <c r="E5" s="6" t="s">
        <v>18</v>
      </c>
      <c r="F5" s="7">
        <v>12</v>
      </c>
      <c r="G5" s="7">
        <v>176</v>
      </c>
      <c r="H5" s="6" t="s">
        <v>19</v>
      </c>
      <c r="I5" s="8" t="s">
        <v>20</v>
      </c>
      <c r="J5" s="8" t="s">
        <v>21</v>
      </c>
      <c r="K5" s="6" t="s">
        <v>22</v>
      </c>
      <c r="L5" s="54" t="s">
        <v>23</v>
      </c>
      <c r="M5" s="55">
        <v>1.7</v>
      </c>
      <c r="N5" s="54" t="s">
        <v>24</v>
      </c>
      <c r="O5" s="54">
        <v>1</v>
      </c>
    </row>
    <row r="6" spans="1:15" hidden="1" x14ac:dyDescent="0.25">
      <c r="A6" s="4">
        <v>1155</v>
      </c>
      <c r="B6" s="5" t="s">
        <v>33</v>
      </c>
      <c r="C6" s="5" t="s">
        <v>16</v>
      </c>
      <c r="D6" s="5" t="s">
        <v>17</v>
      </c>
      <c r="E6" s="6" t="s">
        <v>18</v>
      </c>
      <c r="F6" s="7">
        <v>12</v>
      </c>
      <c r="G6" s="7">
        <v>176</v>
      </c>
      <c r="H6" s="6" t="s">
        <v>19</v>
      </c>
      <c r="I6" s="6" t="s">
        <v>25</v>
      </c>
      <c r="J6" s="6" t="s">
        <v>25</v>
      </c>
      <c r="K6" s="6" t="s">
        <v>26</v>
      </c>
      <c r="L6" s="54" t="s">
        <v>23</v>
      </c>
      <c r="M6" s="55">
        <v>61</v>
      </c>
      <c r="N6" s="54" t="s">
        <v>24</v>
      </c>
      <c r="O6" s="54">
        <v>1</v>
      </c>
    </row>
    <row r="7" spans="1:15" hidden="1" x14ac:dyDescent="0.25">
      <c r="A7" s="4">
        <v>1155</v>
      </c>
      <c r="B7" s="5" t="s">
        <v>33</v>
      </c>
      <c r="C7" s="5" t="s">
        <v>16</v>
      </c>
      <c r="D7" s="5" t="s">
        <v>17</v>
      </c>
      <c r="E7" s="6" t="s">
        <v>18</v>
      </c>
      <c r="F7" s="7">
        <v>12</v>
      </c>
      <c r="G7" s="7">
        <v>176</v>
      </c>
      <c r="H7" s="6" t="s">
        <v>27</v>
      </c>
      <c r="I7" s="6" t="s">
        <v>20</v>
      </c>
      <c r="J7" s="6" t="s">
        <v>28</v>
      </c>
      <c r="K7" s="6" t="s">
        <v>29</v>
      </c>
      <c r="L7" s="54" t="s">
        <v>23</v>
      </c>
      <c r="M7" s="55">
        <v>48.8</v>
      </c>
      <c r="N7" s="54" t="s">
        <v>24</v>
      </c>
      <c r="O7" s="54">
        <v>1</v>
      </c>
    </row>
    <row r="8" spans="1:15" hidden="1" x14ac:dyDescent="0.25">
      <c r="A8" s="4">
        <v>1155</v>
      </c>
      <c r="B8" s="5" t="s">
        <v>33</v>
      </c>
      <c r="C8" s="5" t="s">
        <v>16</v>
      </c>
      <c r="D8" s="5" t="s">
        <v>17</v>
      </c>
      <c r="E8" s="6" t="s">
        <v>18</v>
      </c>
      <c r="F8" s="7">
        <v>12</v>
      </c>
      <c r="G8" s="7">
        <v>176</v>
      </c>
      <c r="H8" s="6" t="s">
        <v>27</v>
      </c>
      <c r="I8" s="6" t="s">
        <v>30</v>
      </c>
      <c r="J8" s="6" t="s">
        <v>31</v>
      </c>
      <c r="K8" s="6" t="s">
        <v>32</v>
      </c>
      <c r="L8" s="54" t="s">
        <v>23</v>
      </c>
      <c r="M8" s="55">
        <v>21.2</v>
      </c>
      <c r="N8" s="54" t="s">
        <v>24</v>
      </c>
      <c r="O8" s="54">
        <v>1</v>
      </c>
    </row>
    <row r="9" spans="1:15" hidden="1" x14ac:dyDescent="0.25">
      <c r="A9" s="4">
        <v>1155</v>
      </c>
      <c r="B9" s="5" t="s">
        <v>33</v>
      </c>
      <c r="C9" s="5" t="s">
        <v>16</v>
      </c>
      <c r="D9" s="5" t="s">
        <v>17</v>
      </c>
      <c r="E9" s="6" t="s">
        <v>18</v>
      </c>
      <c r="F9" s="7">
        <v>12</v>
      </c>
      <c r="G9" s="7">
        <v>176</v>
      </c>
      <c r="H9" s="6" t="s">
        <v>19</v>
      </c>
      <c r="I9" s="8" t="s">
        <v>20</v>
      </c>
      <c r="J9" s="8" t="s">
        <v>21</v>
      </c>
      <c r="K9" s="6" t="s">
        <v>22</v>
      </c>
      <c r="L9" s="54" t="s">
        <v>23</v>
      </c>
      <c r="M9" s="55">
        <v>1.7</v>
      </c>
      <c r="N9" s="54" t="s">
        <v>24</v>
      </c>
      <c r="O9" s="54">
        <v>1</v>
      </c>
    </row>
    <row r="10" spans="1:15" hidden="1" x14ac:dyDescent="0.25">
      <c r="A10" s="4">
        <v>1160</v>
      </c>
      <c r="B10" s="5" t="s">
        <v>34</v>
      </c>
      <c r="C10" s="5" t="s">
        <v>16</v>
      </c>
      <c r="D10" s="5" t="s">
        <v>17</v>
      </c>
      <c r="E10" s="6" t="s">
        <v>18</v>
      </c>
      <c r="F10" s="7">
        <v>12</v>
      </c>
      <c r="G10" s="7">
        <v>176</v>
      </c>
      <c r="H10" s="6" t="s">
        <v>19</v>
      </c>
      <c r="I10" s="6" t="s">
        <v>25</v>
      </c>
      <c r="J10" s="6" t="s">
        <v>25</v>
      </c>
      <c r="K10" s="6" t="s">
        <v>26</v>
      </c>
      <c r="L10" s="54" t="s">
        <v>23</v>
      </c>
      <c r="M10" s="55">
        <v>61</v>
      </c>
      <c r="N10" s="54" t="s">
        <v>24</v>
      </c>
      <c r="O10" s="54">
        <v>1</v>
      </c>
    </row>
    <row r="11" spans="1:15" hidden="1" x14ac:dyDescent="0.25">
      <c r="A11" s="4">
        <v>1160</v>
      </c>
      <c r="B11" s="5" t="s">
        <v>34</v>
      </c>
      <c r="C11" s="5" t="s">
        <v>16</v>
      </c>
      <c r="D11" s="5" t="s">
        <v>17</v>
      </c>
      <c r="E11" s="6" t="s">
        <v>18</v>
      </c>
      <c r="F11" s="7">
        <v>12</v>
      </c>
      <c r="G11" s="7">
        <v>176</v>
      </c>
      <c r="H11" s="6" t="s">
        <v>27</v>
      </c>
      <c r="I11" s="6" t="s">
        <v>20</v>
      </c>
      <c r="J11" s="6" t="s">
        <v>28</v>
      </c>
      <c r="K11" s="6" t="s">
        <v>29</v>
      </c>
      <c r="L11" s="54" t="s">
        <v>23</v>
      </c>
      <c r="M11" s="55">
        <v>48.8</v>
      </c>
      <c r="N11" s="54" t="s">
        <v>24</v>
      </c>
      <c r="O11" s="54">
        <v>1</v>
      </c>
    </row>
    <row r="12" spans="1:15" hidden="1" x14ac:dyDescent="0.25">
      <c r="A12" s="4">
        <v>1160</v>
      </c>
      <c r="B12" s="5" t="s">
        <v>34</v>
      </c>
      <c r="C12" s="5" t="s">
        <v>16</v>
      </c>
      <c r="D12" s="5" t="s">
        <v>17</v>
      </c>
      <c r="E12" s="6" t="s">
        <v>18</v>
      </c>
      <c r="F12" s="7">
        <v>12</v>
      </c>
      <c r="G12" s="7">
        <v>176</v>
      </c>
      <c r="H12" s="6" t="s">
        <v>27</v>
      </c>
      <c r="I12" s="6" t="s">
        <v>30</v>
      </c>
      <c r="J12" s="6" t="s">
        <v>31</v>
      </c>
      <c r="K12" s="6" t="s">
        <v>32</v>
      </c>
      <c r="L12" s="54" t="s">
        <v>23</v>
      </c>
      <c r="M12" s="55">
        <v>21.2</v>
      </c>
      <c r="N12" s="54" t="s">
        <v>24</v>
      </c>
      <c r="O12" s="54">
        <v>1</v>
      </c>
    </row>
    <row r="13" spans="1:15" hidden="1" x14ac:dyDescent="0.25">
      <c r="A13" s="4">
        <v>1160</v>
      </c>
      <c r="B13" s="5" t="s">
        <v>34</v>
      </c>
      <c r="C13" s="5" t="s">
        <v>16</v>
      </c>
      <c r="D13" s="5" t="s">
        <v>17</v>
      </c>
      <c r="E13" s="6" t="s">
        <v>18</v>
      </c>
      <c r="F13" s="7">
        <v>12</v>
      </c>
      <c r="G13" s="7">
        <v>176</v>
      </c>
      <c r="H13" s="6" t="s">
        <v>19</v>
      </c>
      <c r="I13" s="8" t="s">
        <v>20</v>
      </c>
      <c r="J13" s="8" t="s">
        <v>21</v>
      </c>
      <c r="K13" s="6" t="s">
        <v>22</v>
      </c>
      <c r="L13" s="54" t="s">
        <v>23</v>
      </c>
      <c r="M13" s="55">
        <v>1.7</v>
      </c>
      <c r="N13" s="54" t="s">
        <v>24</v>
      </c>
      <c r="O13" s="54">
        <v>1</v>
      </c>
    </row>
    <row r="14" spans="1:15" x14ac:dyDescent="0.25">
      <c r="A14" s="4">
        <v>1165</v>
      </c>
      <c r="B14" s="5" t="s">
        <v>35</v>
      </c>
      <c r="C14" s="5" t="s">
        <v>16</v>
      </c>
      <c r="D14" s="5" t="s">
        <v>17</v>
      </c>
      <c r="E14" s="6" t="s">
        <v>18</v>
      </c>
      <c r="F14" s="7">
        <v>12</v>
      </c>
      <c r="G14" s="7">
        <v>176</v>
      </c>
      <c r="H14" s="6" t="s">
        <v>19</v>
      </c>
      <c r="I14" s="6" t="s">
        <v>25</v>
      </c>
      <c r="J14" s="6" t="s">
        <v>25</v>
      </c>
      <c r="K14" s="6" t="s">
        <v>26</v>
      </c>
      <c r="L14" s="54" t="s">
        <v>23</v>
      </c>
      <c r="M14" s="55">
        <v>61</v>
      </c>
      <c r="N14" s="54" t="s">
        <v>24</v>
      </c>
      <c r="O14" s="54">
        <v>1</v>
      </c>
    </row>
    <row r="15" spans="1:15" x14ac:dyDescent="0.25">
      <c r="A15" s="4">
        <v>1165</v>
      </c>
      <c r="B15" s="5" t="s">
        <v>35</v>
      </c>
      <c r="C15" s="5" t="s">
        <v>16</v>
      </c>
      <c r="D15" s="5" t="s">
        <v>17</v>
      </c>
      <c r="E15" s="6" t="s">
        <v>18</v>
      </c>
      <c r="F15" s="7">
        <v>12</v>
      </c>
      <c r="G15" s="7">
        <v>176</v>
      </c>
      <c r="H15" s="6" t="s">
        <v>27</v>
      </c>
      <c r="I15" s="6" t="s">
        <v>20</v>
      </c>
      <c r="J15" s="6" t="s">
        <v>28</v>
      </c>
      <c r="K15" s="6" t="s">
        <v>29</v>
      </c>
      <c r="L15" s="54" t="s">
        <v>23</v>
      </c>
      <c r="M15" s="55">
        <v>48.8</v>
      </c>
      <c r="N15" s="54" t="s">
        <v>24</v>
      </c>
      <c r="O15" s="54">
        <v>1</v>
      </c>
    </row>
    <row r="16" spans="1:15" x14ac:dyDescent="0.25">
      <c r="A16" s="4">
        <v>1165</v>
      </c>
      <c r="B16" s="5" t="s">
        <v>35</v>
      </c>
      <c r="C16" s="5" t="s">
        <v>16</v>
      </c>
      <c r="D16" s="5" t="s">
        <v>17</v>
      </c>
      <c r="E16" s="6" t="s">
        <v>18</v>
      </c>
      <c r="F16" s="7">
        <v>12</v>
      </c>
      <c r="G16" s="7">
        <v>176</v>
      </c>
      <c r="H16" s="6" t="s">
        <v>27</v>
      </c>
      <c r="I16" s="6" t="s">
        <v>30</v>
      </c>
      <c r="J16" s="6" t="s">
        <v>31</v>
      </c>
      <c r="K16" s="6" t="s">
        <v>32</v>
      </c>
      <c r="L16" s="54" t="s">
        <v>23</v>
      </c>
      <c r="M16" s="55">
        <v>21.2</v>
      </c>
      <c r="N16" s="54" t="s">
        <v>24</v>
      </c>
      <c r="O16" s="54">
        <v>1</v>
      </c>
    </row>
    <row r="17" spans="1:15" x14ac:dyDescent="0.25">
      <c r="A17" s="4">
        <v>1165</v>
      </c>
      <c r="B17" s="5" t="s">
        <v>35</v>
      </c>
      <c r="C17" s="5" t="s">
        <v>16</v>
      </c>
      <c r="D17" s="5" t="s">
        <v>17</v>
      </c>
      <c r="E17" s="6" t="s">
        <v>18</v>
      </c>
      <c r="F17" s="7">
        <v>12</v>
      </c>
      <c r="G17" s="7">
        <v>176</v>
      </c>
      <c r="H17" s="6" t="s">
        <v>19</v>
      </c>
      <c r="I17" s="8" t="s">
        <v>20</v>
      </c>
      <c r="J17" s="8" t="s">
        <v>21</v>
      </c>
      <c r="K17" s="6" t="s">
        <v>22</v>
      </c>
      <c r="L17" s="54" t="s">
        <v>23</v>
      </c>
      <c r="M17" s="55">
        <v>1.7</v>
      </c>
      <c r="N17" s="54" t="s">
        <v>24</v>
      </c>
      <c r="O17" s="54">
        <v>1</v>
      </c>
    </row>
    <row r="18" spans="1:15" hidden="1" x14ac:dyDescent="0.25">
      <c r="A18" s="5">
        <v>1250</v>
      </c>
      <c r="B18" s="5" t="s">
        <v>60</v>
      </c>
      <c r="C18" s="5" t="s">
        <v>57</v>
      </c>
      <c r="D18" s="5" t="s">
        <v>58</v>
      </c>
      <c r="E18" s="6" t="s">
        <v>18</v>
      </c>
      <c r="F18" s="9">
        <v>24</v>
      </c>
      <c r="G18" s="9">
        <v>80</v>
      </c>
      <c r="H18" s="6" t="s">
        <v>27</v>
      </c>
      <c r="I18" s="6" t="s">
        <v>20</v>
      </c>
      <c r="J18" s="6" t="s">
        <v>28</v>
      </c>
      <c r="K18" s="6" t="s">
        <v>29</v>
      </c>
      <c r="L18" s="54" t="s">
        <v>23</v>
      </c>
      <c r="M18" s="55">
        <v>250</v>
      </c>
      <c r="N18" s="54" t="s">
        <v>24</v>
      </c>
      <c r="O18" s="54">
        <v>1</v>
      </c>
    </row>
    <row r="19" spans="1:15" hidden="1" x14ac:dyDescent="0.25">
      <c r="A19" s="5">
        <v>1250</v>
      </c>
      <c r="B19" s="5" t="s">
        <v>60</v>
      </c>
      <c r="C19" s="5" t="s">
        <v>57</v>
      </c>
      <c r="D19" s="5" t="s">
        <v>58</v>
      </c>
      <c r="E19" s="6" t="s">
        <v>18</v>
      </c>
      <c r="F19" s="9">
        <v>24</v>
      </c>
      <c r="G19" s="9">
        <v>80</v>
      </c>
      <c r="H19" s="6" t="s">
        <v>19</v>
      </c>
      <c r="I19" s="6" t="s">
        <v>20</v>
      </c>
      <c r="J19" s="6" t="s">
        <v>28</v>
      </c>
      <c r="K19" s="6" t="s">
        <v>61</v>
      </c>
      <c r="L19" s="54" t="s">
        <v>23</v>
      </c>
      <c r="M19" s="55">
        <v>37</v>
      </c>
      <c r="N19" s="54" t="s">
        <v>24</v>
      </c>
      <c r="O19" s="54">
        <v>1</v>
      </c>
    </row>
    <row r="20" spans="1:15" hidden="1" x14ac:dyDescent="0.25">
      <c r="A20" s="5">
        <v>1250</v>
      </c>
      <c r="B20" s="5" t="s">
        <v>60</v>
      </c>
      <c r="C20" s="5" t="s">
        <v>57</v>
      </c>
      <c r="D20" s="5" t="s">
        <v>58</v>
      </c>
      <c r="E20" s="6" t="s">
        <v>18</v>
      </c>
      <c r="F20" s="9">
        <v>24</v>
      </c>
      <c r="G20" s="9">
        <v>80</v>
      </c>
      <c r="H20" s="6" t="s">
        <v>19</v>
      </c>
      <c r="I20" s="6" t="s">
        <v>20</v>
      </c>
      <c r="J20" s="6" t="s">
        <v>28</v>
      </c>
      <c r="K20" s="6" t="s">
        <v>29</v>
      </c>
      <c r="L20" s="54" t="s">
        <v>23</v>
      </c>
      <c r="M20" s="55">
        <v>25</v>
      </c>
      <c r="N20" s="54" t="s">
        <v>24</v>
      </c>
      <c r="O20" s="54">
        <v>1</v>
      </c>
    </row>
    <row r="21" spans="1:15" hidden="1" x14ac:dyDescent="0.25">
      <c r="A21" s="5">
        <v>1280</v>
      </c>
      <c r="B21" s="5" t="s">
        <v>56</v>
      </c>
      <c r="C21" s="5" t="s">
        <v>57</v>
      </c>
      <c r="D21" s="5" t="s">
        <v>58</v>
      </c>
      <c r="E21" s="6" t="s">
        <v>18</v>
      </c>
      <c r="F21" s="9">
        <v>20</v>
      </c>
      <c r="G21" s="9">
        <v>1</v>
      </c>
      <c r="H21" s="6" t="s">
        <v>27</v>
      </c>
      <c r="I21" s="6" t="s">
        <v>20</v>
      </c>
      <c r="J21" s="6" t="s">
        <v>28</v>
      </c>
      <c r="K21" s="6" t="s">
        <v>29</v>
      </c>
      <c r="L21" s="54" t="s">
        <v>23</v>
      </c>
      <c r="M21" s="55">
        <v>175</v>
      </c>
      <c r="N21" s="54" t="s">
        <v>24</v>
      </c>
      <c r="O21" s="54">
        <v>1</v>
      </c>
    </row>
    <row r="22" spans="1:15" hidden="1" x14ac:dyDescent="0.25">
      <c r="A22" s="5">
        <v>1280</v>
      </c>
      <c r="B22" s="5" t="s">
        <v>56</v>
      </c>
      <c r="C22" s="5" t="s">
        <v>57</v>
      </c>
      <c r="D22" s="5" t="s">
        <v>58</v>
      </c>
      <c r="E22" s="6" t="s">
        <v>18</v>
      </c>
      <c r="F22" s="9">
        <v>20</v>
      </c>
      <c r="G22" s="9">
        <v>1</v>
      </c>
      <c r="H22" s="6" t="s">
        <v>19</v>
      </c>
      <c r="I22" s="6" t="s">
        <v>30</v>
      </c>
      <c r="J22" s="6" t="s">
        <v>31</v>
      </c>
      <c r="K22" s="6" t="s">
        <v>43</v>
      </c>
      <c r="L22" s="54" t="s">
        <v>23</v>
      </c>
      <c r="M22" s="55">
        <v>16</v>
      </c>
      <c r="N22" s="54" t="s">
        <v>24</v>
      </c>
      <c r="O22" s="54">
        <v>1</v>
      </c>
    </row>
    <row r="23" spans="1:15" hidden="1" x14ac:dyDescent="0.25">
      <c r="A23" s="4">
        <v>1300</v>
      </c>
      <c r="B23" s="5" t="s">
        <v>59</v>
      </c>
      <c r="C23" s="5" t="s">
        <v>57</v>
      </c>
      <c r="D23" s="5" t="s">
        <v>58</v>
      </c>
      <c r="E23" s="6" t="s">
        <v>18</v>
      </c>
      <c r="F23" s="9">
        <v>40</v>
      </c>
      <c r="G23" s="9">
        <v>1</v>
      </c>
      <c r="H23" s="6" t="s">
        <v>27</v>
      </c>
      <c r="I23" s="6" t="s">
        <v>20</v>
      </c>
      <c r="J23" s="6" t="s">
        <v>28</v>
      </c>
      <c r="K23" s="6" t="s">
        <v>29</v>
      </c>
      <c r="L23" s="54" t="s">
        <v>23</v>
      </c>
      <c r="M23" s="55">
        <v>500</v>
      </c>
      <c r="N23" s="54" t="s">
        <v>24</v>
      </c>
      <c r="O23" s="54">
        <v>1</v>
      </c>
    </row>
    <row r="24" spans="1:15" hidden="1" x14ac:dyDescent="0.25">
      <c r="A24" s="4">
        <v>1300</v>
      </c>
      <c r="B24" s="5" t="s">
        <v>59</v>
      </c>
      <c r="C24" s="5" t="s">
        <v>57</v>
      </c>
      <c r="D24" s="5" t="s">
        <v>58</v>
      </c>
      <c r="E24" s="6" t="s">
        <v>18</v>
      </c>
      <c r="F24" s="9">
        <v>40</v>
      </c>
      <c r="G24" s="9">
        <v>1</v>
      </c>
      <c r="H24" s="6" t="s">
        <v>19</v>
      </c>
      <c r="I24" s="6" t="s">
        <v>20</v>
      </c>
      <c r="J24" s="6" t="s">
        <v>28</v>
      </c>
      <c r="K24" s="6" t="s">
        <v>29</v>
      </c>
      <c r="L24" s="54" t="s">
        <v>23</v>
      </c>
      <c r="M24" s="55">
        <v>25</v>
      </c>
      <c r="N24" s="54" t="s">
        <v>24</v>
      </c>
      <c r="O24" s="54">
        <v>1</v>
      </c>
    </row>
    <row r="25" spans="1:15" hidden="1" x14ac:dyDescent="0.25">
      <c r="A25" s="5">
        <v>2075</v>
      </c>
      <c r="B25" s="5" t="s">
        <v>120</v>
      </c>
      <c r="C25" s="5" t="s">
        <v>117</v>
      </c>
      <c r="D25" s="5" t="s">
        <v>104</v>
      </c>
      <c r="E25" s="6" t="s">
        <v>18</v>
      </c>
      <c r="F25" s="10">
        <v>10</v>
      </c>
      <c r="G25" s="10">
        <v>120</v>
      </c>
      <c r="H25" s="6" t="s">
        <v>38</v>
      </c>
      <c r="I25" s="6" t="s">
        <v>121</v>
      </c>
      <c r="J25" s="6" t="s">
        <v>121</v>
      </c>
      <c r="K25" s="6" t="s">
        <v>122</v>
      </c>
      <c r="L25" s="54" t="s">
        <v>23</v>
      </c>
      <c r="M25" s="54">
        <v>16000</v>
      </c>
      <c r="N25" s="54" t="s">
        <v>24</v>
      </c>
      <c r="O25" s="54">
        <v>1</v>
      </c>
    </row>
    <row r="26" spans="1:15" hidden="1" x14ac:dyDescent="0.25">
      <c r="A26" s="5">
        <v>2075</v>
      </c>
      <c r="B26" s="5" t="s">
        <v>120</v>
      </c>
      <c r="C26" s="5" t="s">
        <v>117</v>
      </c>
      <c r="D26" s="5" t="s">
        <v>104</v>
      </c>
      <c r="E26" s="6" t="s">
        <v>18</v>
      </c>
      <c r="F26" s="10">
        <v>10</v>
      </c>
      <c r="G26" s="10">
        <v>120</v>
      </c>
      <c r="H26" s="8" t="s">
        <v>27</v>
      </c>
      <c r="I26" s="8" t="s">
        <v>20</v>
      </c>
      <c r="J26" s="8" t="s">
        <v>28</v>
      </c>
      <c r="K26" s="6" t="s">
        <v>29</v>
      </c>
      <c r="L26" s="54" t="s">
        <v>23</v>
      </c>
      <c r="M26" s="54">
        <v>250</v>
      </c>
      <c r="N26" s="54" t="s">
        <v>24</v>
      </c>
      <c r="O26" s="54">
        <v>1</v>
      </c>
    </row>
    <row r="27" spans="1:15" hidden="1" x14ac:dyDescent="0.25">
      <c r="A27" s="5">
        <v>2075</v>
      </c>
      <c r="B27" s="5" t="s">
        <v>120</v>
      </c>
      <c r="C27" s="5" t="s">
        <v>117</v>
      </c>
      <c r="D27" s="5" t="s">
        <v>104</v>
      </c>
      <c r="E27" s="6" t="s">
        <v>18</v>
      </c>
      <c r="F27" s="10">
        <v>10</v>
      </c>
      <c r="G27" s="10">
        <v>120</v>
      </c>
      <c r="H27" s="6" t="s">
        <v>38</v>
      </c>
      <c r="I27" s="6" t="s">
        <v>30</v>
      </c>
      <c r="J27" s="6" t="s">
        <v>31</v>
      </c>
      <c r="K27" s="6" t="s">
        <v>32</v>
      </c>
      <c r="L27" s="54" t="s">
        <v>23</v>
      </c>
      <c r="M27" s="54">
        <v>200</v>
      </c>
      <c r="N27" s="54" t="s">
        <v>24</v>
      </c>
      <c r="O27" s="54">
        <v>1</v>
      </c>
    </row>
    <row r="28" spans="1:15" hidden="1" x14ac:dyDescent="0.25">
      <c r="A28" s="5">
        <v>2075</v>
      </c>
      <c r="B28" s="5" t="s">
        <v>120</v>
      </c>
      <c r="C28" s="5" t="s">
        <v>117</v>
      </c>
      <c r="D28" s="5" t="s">
        <v>104</v>
      </c>
      <c r="E28" s="6" t="s">
        <v>18</v>
      </c>
      <c r="F28" s="10">
        <v>10</v>
      </c>
      <c r="G28" s="10">
        <v>120</v>
      </c>
      <c r="H28" s="8" t="s">
        <v>19</v>
      </c>
      <c r="I28" s="8" t="s">
        <v>20</v>
      </c>
      <c r="J28" s="8" t="s">
        <v>28</v>
      </c>
      <c r="K28" s="6" t="s">
        <v>29</v>
      </c>
      <c r="L28" s="54" t="s">
        <v>23</v>
      </c>
      <c r="M28" s="54">
        <v>55</v>
      </c>
      <c r="N28" s="54" t="s">
        <v>24</v>
      </c>
      <c r="O28" s="54">
        <v>1</v>
      </c>
    </row>
    <row r="29" spans="1:15" hidden="1" x14ac:dyDescent="0.25">
      <c r="A29" s="5">
        <v>2255</v>
      </c>
      <c r="B29" s="5" t="s">
        <v>123</v>
      </c>
      <c r="C29" s="5" t="s">
        <v>117</v>
      </c>
      <c r="D29" s="5" t="s">
        <v>124</v>
      </c>
      <c r="E29" s="6" t="s">
        <v>18</v>
      </c>
      <c r="F29" s="10">
        <v>4</v>
      </c>
      <c r="G29" s="10">
        <v>60</v>
      </c>
      <c r="H29" s="8" t="s">
        <v>27</v>
      </c>
      <c r="I29" s="8" t="s">
        <v>20</v>
      </c>
      <c r="J29" s="8" t="s">
        <v>28</v>
      </c>
      <c r="K29" s="6" t="s">
        <v>29</v>
      </c>
      <c r="L29" s="54" t="s">
        <v>23</v>
      </c>
      <c r="M29" s="54">
        <v>330</v>
      </c>
      <c r="N29" s="54" t="s">
        <v>24</v>
      </c>
      <c r="O29" s="54">
        <v>1</v>
      </c>
    </row>
    <row r="30" spans="1:15" hidden="1" x14ac:dyDescent="0.25">
      <c r="A30" s="5">
        <v>2255</v>
      </c>
      <c r="B30" s="5" t="s">
        <v>123</v>
      </c>
      <c r="C30" s="5" t="s">
        <v>117</v>
      </c>
      <c r="D30" s="5" t="s">
        <v>124</v>
      </c>
      <c r="E30" s="6" t="s">
        <v>18</v>
      </c>
      <c r="F30" s="10">
        <v>4</v>
      </c>
      <c r="G30" s="10">
        <v>60</v>
      </c>
      <c r="H30" s="8" t="s">
        <v>19</v>
      </c>
      <c r="I30" s="8" t="s">
        <v>20</v>
      </c>
      <c r="J30" s="8" t="s">
        <v>28</v>
      </c>
      <c r="K30" s="6" t="s">
        <v>29</v>
      </c>
      <c r="L30" s="54" t="s">
        <v>23</v>
      </c>
      <c r="M30" s="54">
        <v>2.1</v>
      </c>
      <c r="N30" s="54" t="s">
        <v>24</v>
      </c>
      <c r="O30" s="54">
        <v>1</v>
      </c>
    </row>
    <row r="31" spans="1:15" hidden="1" x14ac:dyDescent="0.25">
      <c r="A31" s="5">
        <v>2260</v>
      </c>
      <c r="B31" s="5" t="s">
        <v>125</v>
      </c>
      <c r="C31" s="5" t="s">
        <v>117</v>
      </c>
      <c r="D31" s="5" t="s">
        <v>104</v>
      </c>
      <c r="E31" s="6" t="s">
        <v>18</v>
      </c>
      <c r="F31" s="10">
        <v>10</v>
      </c>
      <c r="G31" s="10">
        <v>120</v>
      </c>
      <c r="H31" s="6" t="s">
        <v>38</v>
      </c>
      <c r="I31" s="6" t="s">
        <v>121</v>
      </c>
      <c r="J31" s="6" t="s">
        <v>121</v>
      </c>
      <c r="K31" s="6" t="s">
        <v>122</v>
      </c>
      <c r="L31" s="54" t="s">
        <v>23</v>
      </c>
      <c r="M31" s="54">
        <v>16000</v>
      </c>
      <c r="N31" s="54" t="s">
        <v>24</v>
      </c>
      <c r="O31" s="54">
        <v>1</v>
      </c>
    </row>
    <row r="32" spans="1:15" hidden="1" x14ac:dyDescent="0.25">
      <c r="A32" s="5">
        <v>2260</v>
      </c>
      <c r="B32" s="5" t="s">
        <v>125</v>
      </c>
      <c r="C32" s="5" t="s">
        <v>117</v>
      </c>
      <c r="D32" s="5" t="s">
        <v>104</v>
      </c>
      <c r="E32" s="6" t="s">
        <v>18</v>
      </c>
      <c r="F32" s="10">
        <v>10</v>
      </c>
      <c r="G32" s="10">
        <v>120</v>
      </c>
      <c r="H32" s="8" t="s">
        <v>27</v>
      </c>
      <c r="I32" s="8" t="s">
        <v>20</v>
      </c>
      <c r="J32" s="8" t="s">
        <v>28</v>
      </c>
      <c r="K32" s="6" t="s">
        <v>29</v>
      </c>
      <c r="L32" s="54" t="s">
        <v>23</v>
      </c>
      <c r="M32" s="54">
        <v>250</v>
      </c>
      <c r="N32" s="54" t="s">
        <v>24</v>
      </c>
      <c r="O32" s="54">
        <v>1</v>
      </c>
    </row>
    <row r="33" spans="1:15" hidden="1" x14ac:dyDescent="0.25">
      <c r="A33" s="5">
        <v>2260</v>
      </c>
      <c r="B33" s="5" t="s">
        <v>125</v>
      </c>
      <c r="C33" s="5" t="s">
        <v>117</v>
      </c>
      <c r="D33" s="5" t="s">
        <v>104</v>
      </c>
      <c r="E33" s="6" t="s">
        <v>18</v>
      </c>
      <c r="F33" s="10">
        <v>10</v>
      </c>
      <c r="G33" s="10">
        <v>120</v>
      </c>
      <c r="H33" s="6" t="s">
        <v>38</v>
      </c>
      <c r="I33" s="6" t="s">
        <v>30</v>
      </c>
      <c r="J33" s="6" t="s">
        <v>31</v>
      </c>
      <c r="K33" s="6" t="s">
        <v>32</v>
      </c>
      <c r="L33" s="54" t="s">
        <v>23</v>
      </c>
      <c r="M33" s="54">
        <v>200</v>
      </c>
      <c r="N33" s="54" t="s">
        <v>24</v>
      </c>
      <c r="O33" s="54">
        <v>1</v>
      </c>
    </row>
    <row r="34" spans="1:15" hidden="1" x14ac:dyDescent="0.25">
      <c r="A34" s="5">
        <v>2260</v>
      </c>
      <c r="B34" s="5" t="s">
        <v>125</v>
      </c>
      <c r="C34" s="5" t="s">
        <v>117</v>
      </c>
      <c r="D34" s="5" t="s">
        <v>104</v>
      </c>
      <c r="E34" s="6" t="s">
        <v>18</v>
      </c>
      <c r="F34" s="10">
        <v>10</v>
      </c>
      <c r="G34" s="10">
        <v>120</v>
      </c>
      <c r="H34" s="8" t="s">
        <v>19</v>
      </c>
      <c r="I34" s="8" t="s">
        <v>20</v>
      </c>
      <c r="J34" s="8" t="s">
        <v>28</v>
      </c>
      <c r="K34" s="6" t="s">
        <v>29</v>
      </c>
      <c r="L34" s="54" t="s">
        <v>23</v>
      </c>
      <c r="M34" s="54">
        <v>55</v>
      </c>
      <c r="N34" s="54" t="s">
        <v>24</v>
      </c>
      <c r="O34" s="54">
        <v>1</v>
      </c>
    </row>
    <row r="35" spans="1:15" hidden="1" x14ac:dyDescent="0.25">
      <c r="A35" s="5">
        <v>2305</v>
      </c>
      <c r="B35" s="5" t="s">
        <v>126</v>
      </c>
      <c r="C35" s="5" t="s">
        <v>117</v>
      </c>
      <c r="D35" s="5" t="s">
        <v>104</v>
      </c>
      <c r="E35" s="6" t="s">
        <v>18</v>
      </c>
      <c r="F35" s="10">
        <v>10</v>
      </c>
      <c r="G35" s="10">
        <v>120</v>
      </c>
      <c r="H35" s="6" t="s">
        <v>38</v>
      </c>
      <c r="I35" s="6" t="s">
        <v>121</v>
      </c>
      <c r="J35" s="6" t="s">
        <v>121</v>
      </c>
      <c r="K35" s="6" t="s">
        <v>122</v>
      </c>
      <c r="L35" s="54" t="s">
        <v>23</v>
      </c>
      <c r="M35" s="54">
        <v>16000</v>
      </c>
      <c r="N35" s="54" t="s">
        <v>24</v>
      </c>
      <c r="O35" s="54">
        <v>1</v>
      </c>
    </row>
    <row r="36" spans="1:15" hidden="1" x14ac:dyDescent="0.25">
      <c r="A36" s="5">
        <v>2305</v>
      </c>
      <c r="B36" s="5" t="s">
        <v>126</v>
      </c>
      <c r="C36" s="5" t="s">
        <v>117</v>
      </c>
      <c r="D36" s="5" t="s">
        <v>104</v>
      </c>
      <c r="E36" s="6" t="s">
        <v>18</v>
      </c>
      <c r="F36" s="10">
        <v>10</v>
      </c>
      <c r="G36" s="10">
        <v>120</v>
      </c>
      <c r="H36" s="8" t="s">
        <v>27</v>
      </c>
      <c r="I36" s="8" t="s">
        <v>20</v>
      </c>
      <c r="J36" s="8" t="s">
        <v>28</v>
      </c>
      <c r="K36" s="6" t="s">
        <v>29</v>
      </c>
      <c r="L36" s="54" t="s">
        <v>23</v>
      </c>
      <c r="M36" s="54">
        <v>250</v>
      </c>
      <c r="N36" s="54" t="s">
        <v>24</v>
      </c>
      <c r="O36" s="54">
        <v>1</v>
      </c>
    </row>
    <row r="37" spans="1:15" hidden="1" x14ac:dyDescent="0.25">
      <c r="A37" s="5">
        <v>2305</v>
      </c>
      <c r="B37" s="5" t="s">
        <v>126</v>
      </c>
      <c r="C37" s="5" t="s">
        <v>117</v>
      </c>
      <c r="D37" s="5" t="s">
        <v>104</v>
      </c>
      <c r="E37" s="6" t="s">
        <v>18</v>
      </c>
      <c r="F37" s="10">
        <v>10</v>
      </c>
      <c r="G37" s="10">
        <v>120</v>
      </c>
      <c r="H37" s="6" t="s">
        <v>38</v>
      </c>
      <c r="I37" s="6" t="s">
        <v>30</v>
      </c>
      <c r="J37" s="6" t="s">
        <v>31</v>
      </c>
      <c r="K37" s="6" t="s">
        <v>32</v>
      </c>
      <c r="L37" s="54" t="s">
        <v>23</v>
      </c>
      <c r="M37" s="54">
        <v>200</v>
      </c>
      <c r="N37" s="54" t="s">
        <v>24</v>
      </c>
      <c r="O37" s="54">
        <v>1</v>
      </c>
    </row>
    <row r="38" spans="1:15" hidden="1" x14ac:dyDescent="0.25">
      <c r="A38" s="5">
        <v>2305</v>
      </c>
      <c r="B38" s="5" t="s">
        <v>126</v>
      </c>
      <c r="C38" s="5" t="s">
        <v>117</v>
      </c>
      <c r="D38" s="5" t="s">
        <v>104</v>
      </c>
      <c r="E38" s="6" t="s">
        <v>18</v>
      </c>
      <c r="F38" s="10">
        <v>10</v>
      </c>
      <c r="G38" s="10">
        <v>120</v>
      </c>
      <c r="H38" s="8" t="s">
        <v>19</v>
      </c>
      <c r="I38" s="8" t="s">
        <v>20</v>
      </c>
      <c r="J38" s="8" t="s">
        <v>28</v>
      </c>
      <c r="K38" s="6" t="s">
        <v>29</v>
      </c>
      <c r="L38" s="54" t="s">
        <v>23</v>
      </c>
      <c r="M38" s="54">
        <v>55</v>
      </c>
      <c r="N38" s="54" t="s">
        <v>24</v>
      </c>
      <c r="O38" s="54">
        <v>1</v>
      </c>
    </row>
    <row r="39" spans="1:15" hidden="1" x14ac:dyDescent="0.25">
      <c r="A39" s="5">
        <v>2310</v>
      </c>
      <c r="B39" s="5" t="s">
        <v>127</v>
      </c>
      <c r="C39" s="5" t="s">
        <v>117</v>
      </c>
      <c r="D39" s="5" t="s">
        <v>104</v>
      </c>
      <c r="E39" s="6" t="s">
        <v>18</v>
      </c>
      <c r="F39" s="10">
        <v>10</v>
      </c>
      <c r="G39" s="10">
        <v>120</v>
      </c>
      <c r="H39" s="6" t="s">
        <v>38</v>
      </c>
      <c r="I39" s="6" t="s">
        <v>121</v>
      </c>
      <c r="J39" s="6" t="s">
        <v>121</v>
      </c>
      <c r="K39" s="6" t="s">
        <v>122</v>
      </c>
      <c r="L39" s="54" t="s">
        <v>23</v>
      </c>
      <c r="M39" s="54">
        <v>16000</v>
      </c>
      <c r="N39" s="54" t="s">
        <v>24</v>
      </c>
      <c r="O39" s="54">
        <v>1</v>
      </c>
    </row>
    <row r="40" spans="1:15" hidden="1" x14ac:dyDescent="0.25">
      <c r="A40" s="5">
        <v>2310</v>
      </c>
      <c r="B40" s="5" t="s">
        <v>127</v>
      </c>
      <c r="C40" s="5" t="s">
        <v>117</v>
      </c>
      <c r="D40" s="5" t="s">
        <v>104</v>
      </c>
      <c r="E40" s="6" t="s">
        <v>18</v>
      </c>
      <c r="F40" s="10">
        <v>10</v>
      </c>
      <c r="G40" s="10">
        <v>120</v>
      </c>
      <c r="H40" s="8" t="s">
        <v>27</v>
      </c>
      <c r="I40" s="8" t="s">
        <v>20</v>
      </c>
      <c r="J40" s="8" t="s">
        <v>28</v>
      </c>
      <c r="K40" s="6" t="s">
        <v>29</v>
      </c>
      <c r="L40" s="54" t="s">
        <v>23</v>
      </c>
      <c r="M40" s="54">
        <v>250</v>
      </c>
      <c r="N40" s="54" t="s">
        <v>24</v>
      </c>
      <c r="O40" s="54">
        <v>1</v>
      </c>
    </row>
    <row r="41" spans="1:15" hidden="1" x14ac:dyDescent="0.25">
      <c r="A41" s="5">
        <v>2310</v>
      </c>
      <c r="B41" s="5" t="s">
        <v>127</v>
      </c>
      <c r="C41" s="5" t="s">
        <v>117</v>
      </c>
      <c r="D41" s="5" t="s">
        <v>104</v>
      </c>
      <c r="E41" s="6" t="s">
        <v>18</v>
      </c>
      <c r="F41" s="10">
        <v>10</v>
      </c>
      <c r="G41" s="10">
        <v>120</v>
      </c>
      <c r="H41" s="6" t="s">
        <v>38</v>
      </c>
      <c r="I41" s="6" t="s">
        <v>30</v>
      </c>
      <c r="J41" s="6" t="s">
        <v>31</v>
      </c>
      <c r="K41" s="6" t="s">
        <v>32</v>
      </c>
      <c r="L41" s="54" t="s">
        <v>23</v>
      </c>
      <c r="M41" s="54">
        <v>200</v>
      </c>
      <c r="N41" s="54" t="s">
        <v>24</v>
      </c>
      <c r="O41" s="54">
        <v>1</v>
      </c>
    </row>
    <row r="42" spans="1:15" hidden="1" x14ac:dyDescent="0.25">
      <c r="A42" s="5">
        <v>2310</v>
      </c>
      <c r="B42" s="5" t="s">
        <v>127</v>
      </c>
      <c r="C42" s="5" t="s">
        <v>117</v>
      </c>
      <c r="D42" s="5" t="s">
        <v>104</v>
      </c>
      <c r="E42" s="6" t="s">
        <v>18</v>
      </c>
      <c r="F42" s="10">
        <v>10</v>
      </c>
      <c r="G42" s="10">
        <v>120</v>
      </c>
      <c r="H42" s="8" t="s">
        <v>19</v>
      </c>
      <c r="I42" s="8" t="s">
        <v>20</v>
      </c>
      <c r="J42" s="8" t="s">
        <v>28</v>
      </c>
      <c r="K42" s="6" t="s">
        <v>29</v>
      </c>
      <c r="L42" s="54" t="s">
        <v>23</v>
      </c>
      <c r="M42" s="54">
        <v>55</v>
      </c>
      <c r="N42" s="54" t="s">
        <v>24</v>
      </c>
      <c r="O42" s="54">
        <v>1</v>
      </c>
    </row>
    <row r="43" spans="1:15" hidden="1" x14ac:dyDescent="0.25">
      <c r="A43" s="5">
        <v>2385</v>
      </c>
      <c r="B43" s="5" t="s">
        <v>128</v>
      </c>
      <c r="C43" s="5" t="s">
        <v>117</v>
      </c>
      <c r="D43" s="5" t="s">
        <v>104</v>
      </c>
      <c r="E43" s="6" t="s">
        <v>18</v>
      </c>
      <c r="F43" s="10">
        <v>10</v>
      </c>
      <c r="G43" s="10">
        <v>120</v>
      </c>
      <c r="H43" s="6" t="s">
        <v>38</v>
      </c>
      <c r="I43" s="6" t="s">
        <v>121</v>
      </c>
      <c r="J43" s="6" t="s">
        <v>121</v>
      </c>
      <c r="K43" s="6" t="s">
        <v>122</v>
      </c>
      <c r="L43" s="54" t="s">
        <v>23</v>
      </c>
      <c r="M43" s="54">
        <v>16000</v>
      </c>
      <c r="N43" s="54" t="s">
        <v>24</v>
      </c>
      <c r="O43" s="54">
        <v>1</v>
      </c>
    </row>
    <row r="44" spans="1:15" hidden="1" x14ac:dyDescent="0.25">
      <c r="A44" s="5">
        <v>2385</v>
      </c>
      <c r="B44" s="5" t="s">
        <v>128</v>
      </c>
      <c r="C44" s="5" t="s">
        <v>117</v>
      </c>
      <c r="D44" s="5" t="s">
        <v>104</v>
      </c>
      <c r="E44" s="6" t="s">
        <v>18</v>
      </c>
      <c r="F44" s="10">
        <v>10</v>
      </c>
      <c r="G44" s="10">
        <v>120</v>
      </c>
      <c r="H44" s="8" t="s">
        <v>27</v>
      </c>
      <c r="I44" s="8" t="s">
        <v>20</v>
      </c>
      <c r="J44" s="8" t="s">
        <v>28</v>
      </c>
      <c r="K44" s="6" t="s">
        <v>29</v>
      </c>
      <c r="L44" s="54" t="s">
        <v>23</v>
      </c>
      <c r="M44" s="54">
        <v>250</v>
      </c>
      <c r="N44" s="54" t="s">
        <v>24</v>
      </c>
      <c r="O44" s="54">
        <v>1</v>
      </c>
    </row>
    <row r="45" spans="1:15" hidden="1" x14ac:dyDescent="0.25">
      <c r="A45" s="5">
        <v>2385</v>
      </c>
      <c r="B45" s="5" t="s">
        <v>128</v>
      </c>
      <c r="C45" s="5" t="s">
        <v>117</v>
      </c>
      <c r="D45" s="5" t="s">
        <v>104</v>
      </c>
      <c r="E45" s="6" t="s">
        <v>18</v>
      </c>
      <c r="F45" s="10">
        <v>10</v>
      </c>
      <c r="G45" s="10">
        <v>120</v>
      </c>
      <c r="H45" s="6" t="s">
        <v>38</v>
      </c>
      <c r="I45" s="6" t="s">
        <v>30</v>
      </c>
      <c r="J45" s="6" t="s">
        <v>31</v>
      </c>
      <c r="K45" s="6" t="s">
        <v>32</v>
      </c>
      <c r="L45" s="54" t="s">
        <v>23</v>
      </c>
      <c r="M45" s="54">
        <v>200</v>
      </c>
      <c r="N45" s="54" t="s">
        <v>24</v>
      </c>
      <c r="O45" s="54">
        <v>1</v>
      </c>
    </row>
    <row r="46" spans="1:15" hidden="1" x14ac:dyDescent="0.25">
      <c r="A46" s="5">
        <v>2385</v>
      </c>
      <c r="B46" s="5" t="s">
        <v>128</v>
      </c>
      <c r="C46" s="5" t="s">
        <v>117</v>
      </c>
      <c r="D46" s="5" t="s">
        <v>104</v>
      </c>
      <c r="E46" s="6" t="s">
        <v>18</v>
      </c>
      <c r="F46" s="10">
        <v>10</v>
      </c>
      <c r="G46" s="10">
        <v>120</v>
      </c>
      <c r="H46" s="8" t="s">
        <v>19</v>
      </c>
      <c r="I46" s="8" t="s">
        <v>20</v>
      </c>
      <c r="J46" s="8" t="s">
        <v>28</v>
      </c>
      <c r="K46" s="6" t="s">
        <v>29</v>
      </c>
      <c r="L46" s="54" t="s">
        <v>23</v>
      </c>
      <c r="M46" s="54">
        <v>55</v>
      </c>
      <c r="N46" s="54" t="s">
        <v>24</v>
      </c>
      <c r="O46" s="54">
        <v>1</v>
      </c>
    </row>
    <row r="47" spans="1:15" hidden="1" x14ac:dyDescent="0.25">
      <c r="A47" s="5">
        <v>2395</v>
      </c>
      <c r="B47" s="5" t="s">
        <v>129</v>
      </c>
      <c r="C47" s="5" t="s">
        <v>117</v>
      </c>
      <c r="D47" s="5" t="s">
        <v>104</v>
      </c>
      <c r="E47" s="6" t="s">
        <v>18</v>
      </c>
      <c r="F47" s="10">
        <v>10</v>
      </c>
      <c r="G47" s="10">
        <v>120</v>
      </c>
      <c r="H47" s="6" t="s">
        <v>38</v>
      </c>
      <c r="I47" s="6" t="s">
        <v>121</v>
      </c>
      <c r="J47" s="6" t="s">
        <v>121</v>
      </c>
      <c r="K47" s="6" t="s">
        <v>122</v>
      </c>
      <c r="L47" s="54" t="s">
        <v>23</v>
      </c>
      <c r="M47" s="54">
        <v>16000</v>
      </c>
      <c r="N47" s="54" t="s">
        <v>24</v>
      </c>
      <c r="O47" s="54">
        <v>1</v>
      </c>
    </row>
    <row r="48" spans="1:15" hidden="1" x14ac:dyDescent="0.25">
      <c r="A48" s="5">
        <v>2395</v>
      </c>
      <c r="B48" s="5" t="s">
        <v>129</v>
      </c>
      <c r="C48" s="5" t="s">
        <v>117</v>
      </c>
      <c r="D48" s="5" t="s">
        <v>104</v>
      </c>
      <c r="E48" s="6" t="s">
        <v>18</v>
      </c>
      <c r="F48" s="10">
        <v>10</v>
      </c>
      <c r="G48" s="10">
        <v>120</v>
      </c>
      <c r="H48" s="8" t="s">
        <v>27</v>
      </c>
      <c r="I48" s="8" t="s">
        <v>20</v>
      </c>
      <c r="J48" s="8" t="s">
        <v>28</v>
      </c>
      <c r="K48" s="6" t="s">
        <v>29</v>
      </c>
      <c r="L48" s="54" t="s">
        <v>23</v>
      </c>
      <c r="M48" s="54">
        <v>250</v>
      </c>
      <c r="N48" s="54" t="s">
        <v>24</v>
      </c>
      <c r="O48" s="54">
        <v>1</v>
      </c>
    </row>
    <row r="49" spans="1:15" hidden="1" x14ac:dyDescent="0.25">
      <c r="A49" s="5">
        <v>2395</v>
      </c>
      <c r="B49" s="5" t="s">
        <v>129</v>
      </c>
      <c r="C49" s="5" t="s">
        <v>117</v>
      </c>
      <c r="D49" s="5" t="s">
        <v>104</v>
      </c>
      <c r="E49" s="6" t="s">
        <v>18</v>
      </c>
      <c r="F49" s="10">
        <v>10</v>
      </c>
      <c r="G49" s="10">
        <v>120</v>
      </c>
      <c r="H49" s="6" t="s">
        <v>38</v>
      </c>
      <c r="I49" s="6" t="s">
        <v>30</v>
      </c>
      <c r="J49" s="6" t="s">
        <v>31</v>
      </c>
      <c r="K49" s="6" t="s">
        <v>32</v>
      </c>
      <c r="L49" s="54" t="s">
        <v>23</v>
      </c>
      <c r="M49" s="54">
        <v>200</v>
      </c>
      <c r="N49" s="54" t="s">
        <v>24</v>
      </c>
      <c r="O49" s="54">
        <v>1</v>
      </c>
    </row>
    <row r="50" spans="1:15" hidden="1" x14ac:dyDescent="0.25">
      <c r="A50" s="5">
        <v>2395</v>
      </c>
      <c r="B50" s="5" t="s">
        <v>129</v>
      </c>
      <c r="C50" s="5" t="s">
        <v>117</v>
      </c>
      <c r="D50" s="5" t="s">
        <v>104</v>
      </c>
      <c r="E50" s="6" t="s">
        <v>18</v>
      </c>
      <c r="F50" s="10">
        <v>10</v>
      </c>
      <c r="G50" s="10">
        <v>120</v>
      </c>
      <c r="H50" s="8" t="s">
        <v>19</v>
      </c>
      <c r="I50" s="8" t="s">
        <v>20</v>
      </c>
      <c r="J50" s="8" t="s">
        <v>28</v>
      </c>
      <c r="K50" s="6" t="s">
        <v>29</v>
      </c>
      <c r="L50" s="54" t="s">
        <v>23</v>
      </c>
      <c r="M50" s="54">
        <v>55</v>
      </c>
      <c r="N50" s="54" t="s">
        <v>24</v>
      </c>
      <c r="O50" s="54">
        <v>1</v>
      </c>
    </row>
    <row r="51" spans="1:15" hidden="1" x14ac:dyDescent="0.25">
      <c r="A51" s="5">
        <v>2400</v>
      </c>
      <c r="B51" s="5" t="s">
        <v>130</v>
      </c>
      <c r="C51" s="5" t="s">
        <v>117</v>
      </c>
      <c r="D51" s="5" t="s">
        <v>104</v>
      </c>
      <c r="E51" s="6" t="s">
        <v>18</v>
      </c>
      <c r="F51" s="10">
        <v>10</v>
      </c>
      <c r="G51" s="10">
        <v>120</v>
      </c>
      <c r="H51" s="6" t="s">
        <v>38</v>
      </c>
      <c r="I51" s="6" t="s">
        <v>121</v>
      </c>
      <c r="J51" s="6" t="s">
        <v>121</v>
      </c>
      <c r="K51" s="6" t="s">
        <v>122</v>
      </c>
      <c r="L51" s="54" t="s">
        <v>23</v>
      </c>
      <c r="M51" s="54">
        <v>16000</v>
      </c>
      <c r="N51" s="54" t="s">
        <v>24</v>
      </c>
      <c r="O51" s="54">
        <v>1</v>
      </c>
    </row>
    <row r="52" spans="1:15" hidden="1" x14ac:dyDescent="0.25">
      <c r="A52" s="5">
        <v>2400</v>
      </c>
      <c r="B52" s="5" t="s">
        <v>130</v>
      </c>
      <c r="C52" s="5" t="s">
        <v>117</v>
      </c>
      <c r="D52" s="5" t="s">
        <v>104</v>
      </c>
      <c r="E52" s="6" t="s">
        <v>18</v>
      </c>
      <c r="F52" s="10">
        <v>10</v>
      </c>
      <c r="G52" s="10">
        <v>120</v>
      </c>
      <c r="H52" s="8" t="s">
        <v>27</v>
      </c>
      <c r="I52" s="8" t="s">
        <v>20</v>
      </c>
      <c r="J52" s="8" t="s">
        <v>28</v>
      </c>
      <c r="K52" s="6" t="s">
        <v>29</v>
      </c>
      <c r="L52" s="54" t="s">
        <v>23</v>
      </c>
      <c r="M52" s="54">
        <v>250</v>
      </c>
      <c r="N52" s="54" t="s">
        <v>24</v>
      </c>
      <c r="O52" s="54">
        <v>1</v>
      </c>
    </row>
    <row r="53" spans="1:15" hidden="1" x14ac:dyDescent="0.25">
      <c r="A53" s="5">
        <v>2400</v>
      </c>
      <c r="B53" s="5" t="s">
        <v>130</v>
      </c>
      <c r="C53" s="5" t="s">
        <v>117</v>
      </c>
      <c r="D53" s="5" t="s">
        <v>104</v>
      </c>
      <c r="E53" s="6" t="s">
        <v>18</v>
      </c>
      <c r="F53" s="10">
        <v>10</v>
      </c>
      <c r="G53" s="10">
        <v>120</v>
      </c>
      <c r="H53" s="6" t="s">
        <v>38</v>
      </c>
      <c r="I53" s="6" t="s">
        <v>30</v>
      </c>
      <c r="J53" s="6" t="s">
        <v>31</v>
      </c>
      <c r="K53" s="6" t="s">
        <v>32</v>
      </c>
      <c r="L53" s="54" t="s">
        <v>23</v>
      </c>
      <c r="M53" s="54">
        <v>200</v>
      </c>
      <c r="N53" s="54" t="s">
        <v>24</v>
      </c>
      <c r="O53" s="54">
        <v>1</v>
      </c>
    </row>
    <row r="54" spans="1:15" hidden="1" x14ac:dyDescent="0.25">
      <c r="A54" s="5">
        <v>2400</v>
      </c>
      <c r="B54" s="5" t="s">
        <v>130</v>
      </c>
      <c r="C54" s="5" t="s">
        <v>117</v>
      </c>
      <c r="D54" s="5" t="s">
        <v>104</v>
      </c>
      <c r="E54" s="6" t="s">
        <v>18</v>
      </c>
      <c r="F54" s="10">
        <v>10</v>
      </c>
      <c r="G54" s="10">
        <v>120</v>
      </c>
      <c r="H54" s="8" t="s">
        <v>19</v>
      </c>
      <c r="I54" s="8" t="s">
        <v>20</v>
      </c>
      <c r="J54" s="8" t="s">
        <v>28</v>
      </c>
      <c r="K54" s="6" t="s">
        <v>29</v>
      </c>
      <c r="L54" s="54" t="s">
        <v>23</v>
      </c>
      <c r="M54" s="54">
        <v>55</v>
      </c>
      <c r="N54" s="54" t="s">
        <v>24</v>
      </c>
      <c r="O54" s="54">
        <v>1</v>
      </c>
    </row>
    <row r="55" spans="1:15" hidden="1" x14ac:dyDescent="0.25">
      <c r="A55" s="5">
        <v>2410</v>
      </c>
      <c r="B55" s="5" t="s">
        <v>131</v>
      </c>
      <c r="C55" s="5" t="s">
        <v>117</v>
      </c>
      <c r="D55" s="5" t="s">
        <v>104</v>
      </c>
      <c r="E55" s="6" t="s">
        <v>18</v>
      </c>
      <c r="F55" s="10">
        <v>10</v>
      </c>
      <c r="G55" s="10">
        <v>120</v>
      </c>
      <c r="H55" s="6" t="s">
        <v>38</v>
      </c>
      <c r="I55" s="6" t="s">
        <v>121</v>
      </c>
      <c r="J55" s="6" t="s">
        <v>121</v>
      </c>
      <c r="K55" s="6" t="s">
        <v>122</v>
      </c>
      <c r="L55" s="54" t="s">
        <v>23</v>
      </c>
      <c r="M55" s="54">
        <v>16000</v>
      </c>
      <c r="N55" s="54" t="s">
        <v>24</v>
      </c>
      <c r="O55" s="54">
        <v>1</v>
      </c>
    </row>
    <row r="56" spans="1:15" hidden="1" x14ac:dyDescent="0.25">
      <c r="A56" s="5">
        <v>2410</v>
      </c>
      <c r="B56" s="5" t="s">
        <v>131</v>
      </c>
      <c r="C56" s="5" t="s">
        <v>117</v>
      </c>
      <c r="D56" s="5" t="s">
        <v>104</v>
      </c>
      <c r="E56" s="6" t="s">
        <v>18</v>
      </c>
      <c r="F56" s="10">
        <v>10</v>
      </c>
      <c r="G56" s="10">
        <v>120</v>
      </c>
      <c r="H56" s="8" t="s">
        <v>27</v>
      </c>
      <c r="I56" s="8" t="s">
        <v>20</v>
      </c>
      <c r="J56" s="8" t="s">
        <v>28</v>
      </c>
      <c r="K56" s="6" t="s">
        <v>29</v>
      </c>
      <c r="L56" s="54" t="s">
        <v>23</v>
      </c>
      <c r="M56" s="54">
        <v>250</v>
      </c>
      <c r="N56" s="54" t="s">
        <v>24</v>
      </c>
      <c r="O56" s="54">
        <v>1</v>
      </c>
    </row>
    <row r="57" spans="1:15" hidden="1" x14ac:dyDescent="0.25">
      <c r="A57" s="5">
        <v>2410</v>
      </c>
      <c r="B57" s="5" t="s">
        <v>131</v>
      </c>
      <c r="C57" s="5" t="s">
        <v>117</v>
      </c>
      <c r="D57" s="5" t="s">
        <v>104</v>
      </c>
      <c r="E57" s="6" t="s">
        <v>18</v>
      </c>
      <c r="F57" s="10">
        <v>10</v>
      </c>
      <c r="G57" s="10">
        <v>120</v>
      </c>
      <c r="H57" s="6" t="s">
        <v>38</v>
      </c>
      <c r="I57" s="6" t="s">
        <v>30</v>
      </c>
      <c r="J57" s="6" t="s">
        <v>31</v>
      </c>
      <c r="K57" s="6" t="s">
        <v>32</v>
      </c>
      <c r="L57" s="54" t="s">
        <v>23</v>
      </c>
      <c r="M57" s="54">
        <v>200</v>
      </c>
      <c r="N57" s="54" t="s">
        <v>24</v>
      </c>
      <c r="O57" s="54">
        <v>1</v>
      </c>
    </row>
    <row r="58" spans="1:15" hidden="1" x14ac:dyDescent="0.25">
      <c r="A58" s="5">
        <v>2410</v>
      </c>
      <c r="B58" s="5" t="s">
        <v>131</v>
      </c>
      <c r="C58" s="5" t="s">
        <v>117</v>
      </c>
      <c r="D58" s="5" t="s">
        <v>104</v>
      </c>
      <c r="E58" s="6" t="s">
        <v>18</v>
      </c>
      <c r="F58" s="10">
        <v>10</v>
      </c>
      <c r="G58" s="10">
        <v>120</v>
      </c>
      <c r="H58" s="8" t="s">
        <v>19</v>
      </c>
      <c r="I58" s="8" t="s">
        <v>20</v>
      </c>
      <c r="J58" s="8" t="s">
        <v>28</v>
      </c>
      <c r="K58" s="6" t="s">
        <v>29</v>
      </c>
      <c r="L58" s="54" t="s">
        <v>23</v>
      </c>
      <c r="M58" s="54">
        <v>55</v>
      </c>
      <c r="N58" s="54" t="s">
        <v>24</v>
      </c>
      <c r="O58" s="54">
        <v>1</v>
      </c>
    </row>
    <row r="59" spans="1:15" hidden="1" x14ac:dyDescent="0.25">
      <c r="A59" s="5">
        <v>2415</v>
      </c>
      <c r="B59" s="5" t="s">
        <v>132</v>
      </c>
      <c r="C59" s="5" t="s">
        <v>117</v>
      </c>
      <c r="D59" s="5" t="s">
        <v>104</v>
      </c>
      <c r="E59" s="6" t="s">
        <v>18</v>
      </c>
      <c r="F59" s="10">
        <v>10</v>
      </c>
      <c r="G59" s="10">
        <v>120</v>
      </c>
      <c r="H59" s="6" t="s">
        <v>38</v>
      </c>
      <c r="I59" s="6" t="s">
        <v>121</v>
      </c>
      <c r="J59" s="6" t="s">
        <v>121</v>
      </c>
      <c r="K59" s="6" t="s">
        <v>122</v>
      </c>
      <c r="L59" s="54" t="s">
        <v>23</v>
      </c>
      <c r="M59" s="54">
        <v>16000</v>
      </c>
      <c r="N59" s="54" t="s">
        <v>24</v>
      </c>
      <c r="O59" s="54">
        <v>1</v>
      </c>
    </row>
    <row r="60" spans="1:15" hidden="1" x14ac:dyDescent="0.25">
      <c r="A60" s="5">
        <v>2415</v>
      </c>
      <c r="B60" s="5" t="s">
        <v>132</v>
      </c>
      <c r="C60" s="5" t="s">
        <v>117</v>
      </c>
      <c r="D60" s="5" t="s">
        <v>104</v>
      </c>
      <c r="E60" s="6" t="s">
        <v>18</v>
      </c>
      <c r="F60" s="10">
        <v>10</v>
      </c>
      <c r="G60" s="10">
        <v>120</v>
      </c>
      <c r="H60" s="8" t="s">
        <v>27</v>
      </c>
      <c r="I60" s="8" t="s">
        <v>20</v>
      </c>
      <c r="J60" s="8" t="s">
        <v>28</v>
      </c>
      <c r="K60" s="6" t="s">
        <v>29</v>
      </c>
      <c r="L60" s="54" t="s">
        <v>23</v>
      </c>
      <c r="M60" s="54">
        <v>250</v>
      </c>
      <c r="N60" s="54" t="s">
        <v>24</v>
      </c>
      <c r="O60" s="54">
        <v>1</v>
      </c>
    </row>
    <row r="61" spans="1:15" hidden="1" x14ac:dyDescent="0.25">
      <c r="A61" s="5">
        <v>2415</v>
      </c>
      <c r="B61" s="5" t="s">
        <v>132</v>
      </c>
      <c r="C61" s="5" t="s">
        <v>117</v>
      </c>
      <c r="D61" s="5" t="s">
        <v>104</v>
      </c>
      <c r="E61" s="6" t="s">
        <v>18</v>
      </c>
      <c r="F61" s="10">
        <v>10</v>
      </c>
      <c r="G61" s="10">
        <v>120</v>
      </c>
      <c r="H61" s="6" t="s">
        <v>38</v>
      </c>
      <c r="I61" s="6" t="s">
        <v>30</v>
      </c>
      <c r="J61" s="6" t="s">
        <v>31</v>
      </c>
      <c r="K61" s="6" t="s">
        <v>32</v>
      </c>
      <c r="L61" s="54" t="s">
        <v>23</v>
      </c>
      <c r="M61" s="54">
        <v>200</v>
      </c>
      <c r="N61" s="54" t="s">
        <v>24</v>
      </c>
      <c r="O61" s="54">
        <v>1</v>
      </c>
    </row>
    <row r="62" spans="1:15" hidden="1" x14ac:dyDescent="0.25">
      <c r="A62" s="5">
        <v>2415</v>
      </c>
      <c r="B62" s="5" t="s">
        <v>132</v>
      </c>
      <c r="C62" s="5" t="s">
        <v>117</v>
      </c>
      <c r="D62" s="5" t="s">
        <v>104</v>
      </c>
      <c r="E62" s="6" t="s">
        <v>18</v>
      </c>
      <c r="F62" s="10">
        <v>10</v>
      </c>
      <c r="G62" s="10">
        <v>120</v>
      </c>
      <c r="H62" s="8" t="s">
        <v>19</v>
      </c>
      <c r="I62" s="8" t="s">
        <v>20</v>
      </c>
      <c r="J62" s="8" t="s">
        <v>28</v>
      </c>
      <c r="K62" s="6" t="s">
        <v>29</v>
      </c>
      <c r="L62" s="54" t="s">
        <v>23</v>
      </c>
      <c r="M62" s="54">
        <v>55</v>
      </c>
      <c r="N62" s="54" t="s">
        <v>24</v>
      </c>
      <c r="O62" s="54">
        <v>1</v>
      </c>
    </row>
    <row r="63" spans="1:15" hidden="1" x14ac:dyDescent="0.25">
      <c r="A63" s="5">
        <v>2420</v>
      </c>
      <c r="B63" s="5" t="s">
        <v>133</v>
      </c>
      <c r="C63" s="5" t="s">
        <v>117</v>
      </c>
      <c r="D63" s="5" t="s">
        <v>104</v>
      </c>
      <c r="E63" s="6" t="s">
        <v>18</v>
      </c>
      <c r="F63" s="10">
        <v>10</v>
      </c>
      <c r="G63" s="10">
        <v>120</v>
      </c>
      <c r="H63" s="6" t="s">
        <v>38</v>
      </c>
      <c r="I63" s="6" t="s">
        <v>121</v>
      </c>
      <c r="J63" s="6" t="s">
        <v>121</v>
      </c>
      <c r="K63" s="6" t="s">
        <v>122</v>
      </c>
      <c r="L63" s="54" t="s">
        <v>23</v>
      </c>
      <c r="M63" s="54">
        <v>16000</v>
      </c>
      <c r="N63" s="54" t="s">
        <v>24</v>
      </c>
      <c r="O63" s="54">
        <v>1</v>
      </c>
    </row>
    <row r="64" spans="1:15" hidden="1" x14ac:dyDescent="0.25">
      <c r="A64" s="5">
        <v>2420</v>
      </c>
      <c r="B64" s="5" t="s">
        <v>133</v>
      </c>
      <c r="C64" s="5" t="s">
        <v>117</v>
      </c>
      <c r="D64" s="5" t="s">
        <v>104</v>
      </c>
      <c r="E64" s="6" t="s">
        <v>18</v>
      </c>
      <c r="F64" s="10">
        <v>10</v>
      </c>
      <c r="G64" s="10">
        <v>120</v>
      </c>
      <c r="H64" s="8" t="s">
        <v>27</v>
      </c>
      <c r="I64" s="8" t="s">
        <v>20</v>
      </c>
      <c r="J64" s="8" t="s">
        <v>28</v>
      </c>
      <c r="K64" s="6" t="s">
        <v>29</v>
      </c>
      <c r="L64" s="54" t="s">
        <v>23</v>
      </c>
      <c r="M64" s="54">
        <v>250</v>
      </c>
      <c r="N64" s="54" t="s">
        <v>24</v>
      </c>
      <c r="O64" s="54">
        <v>1</v>
      </c>
    </row>
    <row r="65" spans="1:15" hidden="1" x14ac:dyDescent="0.25">
      <c r="A65" s="5">
        <v>2420</v>
      </c>
      <c r="B65" s="5" t="s">
        <v>133</v>
      </c>
      <c r="C65" s="5" t="s">
        <v>117</v>
      </c>
      <c r="D65" s="5" t="s">
        <v>104</v>
      </c>
      <c r="E65" s="6" t="s">
        <v>18</v>
      </c>
      <c r="F65" s="10">
        <v>10</v>
      </c>
      <c r="G65" s="10">
        <v>120</v>
      </c>
      <c r="H65" s="6" t="s">
        <v>38</v>
      </c>
      <c r="I65" s="6" t="s">
        <v>30</v>
      </c>
      <c r="J65" s="6" t="s">
        <v>31</v>
      </c>
      <c r="K65" s="6" t="s">
        <v>32</v>
      </c>
      <c r="L65" s="54" t="s">
        <v>23</v>
      </c>
      <c r="M65" s="54">
        <v>200</v>
      </c>
      <c r="N65" s="54" t="s">
        <v>24</v>
      </c>
      <c r="O65" s="54">
        <v>1</v>
      </c>
    </row>
    <row r="66" spans="1:15" hidden="1" x14ac:dyDescent="0.25">
      <c r="A66" s="5">
        <v>2420</v>
      </c>
      <c r="B66" s="5" t="s">
        <v>133</v>
      </c>
      <c r="C66" s="5" t="s">
        <v>117</v>
      </c>
      <c r="D66" s="5" t="s">
        <v>104</v>
      </c>
      <c r="E66" s="6" t="s">
        <v>18</v>
      </c>
      <c r="F66" s="10">
        <v>10</v>
      </c>
      <c r="G66" s="10">
        <v>120</v>
      </c>
      <c r="H66" s="8" t="s">
        <v>19</v>
      </c>
      <c r="I66" s="8" t="s">
        <v>20</v>
      </c>
      <c r="J66" s="8" t="s">
        <v>28</v>
      </c>
      <c r="K66" s="6" t="s">
        <v>29</v>
      </c>
      <c r="L66" s="54" t="s">
        <v>23</v>
      </c>
      <c r="M66" s="54">
        <v>55</v>
      </c>
      <c r="N66" s="54" t="s">
        <v>24</v>
      </c>
      <c r="O66" s="54">
        <v>1</v>
      </c>
    </row>
    <row r="67" spans="1:15" hidden="1" x14ac:dyDescent="0.25">
      <c r="A67" s="5">
        <v>2460</v>
      </c>
      <c r="B67" s="5" t="s">
        <v>156</v>
      </c>
      <c r="C67" s="5" t="s">
        <v>157</v>
      </c>
      <c r="D67" s="5" t="s">
        <v>158</v>
      </c>
      <c r="E67" s="6" t="s">
        <v>18</v>
      </c>
      <c r="F67" s="10">
        <v>1</v>
      </c>
      <c r="G67" s="10">
        <v>105</v>
      </c>
      <c r="H67" s="8" t="s">
        <v>19</v>
      </c>
      <c r="I67" s="8" t="s">
        <v>20</v>
      </c>
      <c r="J67" s="8" t="s">
        <v>21</v>
      </c>
      <c r="K67" s="6" t="s">
        <v>159</v>
      </c>
      <c r="L67" s="54" t="s">
        <v>23</v>
      </c>
      <c r="M67" s="54">
        <v>200</v>
      </c>
      <c r="N67" s="54" t="s">
        <v>24</v>
      </c>
      <c r="O67" s="54">
        <v>1</v>
      </c>
    </row>
    <row r="68" spans="1:15" hidden="1" x14ac:dyDescent="0.25">
      <c r="A68" s="5">
        <v>2460</v>
      </c>
      <c r="B68" s="5" t="s">
        <v>156</v>
      </c>
      <c r="C68" s="5" t="s">
        <v>157</v>
      </c>
      <c r="D68" s="5" t="s">
        <v>158</v>
      </c>
      <c r="E68" s="6" t="s">
        <v>18</v>
      </c>
      <c r="F68" s="10">
        <v>1</v>
      </c>
      <c r="G68" s="10">
        <v>105</v>
      </c>
      <c r="H68" s="6" t="s">
        <v>27</v>
      </c>
      <c r="I68" s="8" t="s">
        <v>20</v>
      </c>
      <c r="J68" s="8" t="s">
        <v>28</v>
      </c>
      <c r="K68" s="6" t="s">
        <v>29</v>
      </c>
      <c r="L68" s="54" t="s">
        <v>23</v>
      </c>
      <c r="M68" s="54">
        <v>165</v>
      </c>
      <c r="N68" s="54" t="s">
        <v>24</v>
      </c>
      <c r="O68" s="54">
        <v>1</v>
      </c>
    </row>
    <row r="69" spans="1:15" hidden="1" x14ac:dyDescent="0.25">
      <c r="A69" s="5">
        <v>2465</v>
      </c>
      <c r="B69" s="5" t="s">
        <v>160</v>
      </c>
      <c r="C69" s="5" t="s">
        <v>157</v>
      </c>
      <c r="D69" s="5" t="s">
        <v>158</v>
      </c>
      <c r="E69" s="6" t="s">
        <v>18</v>
      </c>
      <c r="F69" s="10">
        <v>1</v>
      </c>
      <c r="G69" s="10">
        <v>105</v>
      </c>
      <c r="H69" s="8" t="s">
        <v>19</v>
      </c>
      <c r="I69" s="8" t="s">
        <v>20</v>
      </c>
      <c r="J69" s="8" t="s">
        <v>21</v>
      </c>
      <c r="K69" s="6" t="s">
        <v>159</v>
      </c>
      <c r="L69" s="54" t="s">
        <v>23</v>
      </c>
      <c r="M69" s="54">
        <v>200</v>
      </c>
      <c r="N69" s="54" t="s">
        <v>24</v>
      </c>
      <c r="O69" s="54">
        <v>1</v>
      </c>
    </row>
    <row r="70" spans="1:15" hidden="1" x14ac:dyDescent="0.25">
      <c r="A70" s="5">
        <v>2465</v>
      </c>
      <c r="B70" s="5" t="s">
        <v>160</v>
      </c>
      <c r="C70" s="5" t="s">
        <v>157</v>
      </c>
      <c r="D70" s="5" t="s">
        <v>158</v>
      </c>
      <c r="E70" s="6" t="s">
        <v>18</v>
      </c>
      <c r="F70" s="10">
        <v>1</v>
      </c>
      <c r="G70" s="10">
        <v>105</v>
      </c>
      <c r="H70" s="6" t="s">
        <v>27</v>
      </c>
      <c r="I70" s="8" t="s">
        <v>20</v>
      </c>
      <c r="J70" s="8" t="s">
        <v>28</v>
      </c>
      <c r="K70" s="6" t="s">
        <v>29</v>
      </c>
      <c r="L70" s="54" t="s">
        <v>23</v>
      </c>
      <c r="M70" s="54">
        <v>165</v>
      </c>
      <c r="N70" s="54" t="s">
        <v>24</v>
      </c>
      <c r="O70" s="54">
        <v>1</v>
      </c>
    </row>
    <row r="71" spans="1:15" hidden="1" x14ac:dyDescent="0.25">
      <c r="A71" s="5">
        <v>2470</v>
      </c>
      <c r="B71" s="5" t="s">
        <v>161</v>
      </c>
      <c r="C71" s="5" t="s">
        <v>157</v>
      </c>
      <c r="D71" s="5" t="s">
        <v>158</v>
      </c>
      <c r="E71" s="6" t="s">
        <v>18</v>
      </c>
      <c r="F71" s="10">
        <v>1</v>
      </c>
      <c r="G71" s="10">
        <v>105</v>
      </c>
      <c r="H71" s="6" t="s">
        <v>27</v>
      </c>
      <c r="I71" s="8" t="s">
        <v>20</v>
      </c>
      <c r="J71" s="8" t="s">
        <v>28</v>
      </c>
      <c r="K71" s="6" t="s">
        <v>29</v>
      </c>
      <c r="L71" s="54" t="s">
        <v>23</v>
      </c>
      <c r="M71" s="54">
        <v>165</v>
      </c>
      <c r="N71" s="54" t="s">
        <v>24</v>
      </c>
      <c r="O71" s="54">
        <v>1</v>
      </c>
    </row>
    <row r="72" spans="1:15" hidden="1" x14ac:dyDescent="0.25">
      <c r="A72" s="5">
        <v>2470</v>
      </c>
      <c r="B72" s="5" t="s">
        <v>161</v>
      </c>
      <c r="C72" s="5" t="s">
        <v>157</v>
      </c>
      <c r="D72" s="5" t="s">
        <v>158</v>
      </c>
      <c r="E72" s="6" t="s">
        <v>18</v>
      </c>
      <c r="F72" s="10">
        <v>1</v>
      </c>
      <c r="G72" s="10">
        <v>105</v>
      </c>
      <c r="H72" s="8" t="s">
        <v>19</v>
      </c>
      <c r="I72" s="8" t="s">
        <v>20</v>
      </c>
      <c r="J72" s="8" t="s">
        <v>21</v>
      </c>
      <c r="K72" s="6" t="s">
        <v>159</v>
      </c>
      <c r="L72" s="54" t="s">
        <v>23</v>
      </c>
      <c r="M72" s="54">
        <v>120</v>
      </c>
      <c r="N72" s="54" t="s">
        <v>24</v>
      </c>
      <c r="O72" s="54">
        <v>1</v>
      </c>
    </row>
    <row r="73" spans="1:15" hidden="1" x14ac:dyDescent="0.25">
      <c r="A73" s="5">
        <v>2475</v>
      </c>
      <c r="B73" s="5" t="s">
        <v>162</v>
      </c>
      <c r="C73" s="5" t="s">
        <v>157</v>
      </c>
      <c r="D73" s="5" t="s">
        <v>158</v>
      </c>
      <c r="E73" s="6" t="s">
        <v>18</v>
      </c>
      <c r="F73" s="10">
        <v>1</v>
      </c>
      <c r="G73" s="10">
        <v>105</v>
      </c>
      <c r="H73" s="6" t="s">
        <v>27</v>
      </c>
      <c r="I73" s="8" t="s">
        <v>20</v>
      </c>
      <c r="J73" s="8" t="s">
        <v>28</v>
      </c>
      <c r="K73" s="6" t="s">
        <v>29</v>
      </c>
      <c r="L73" s="54" t="s">
        <v>23</v>
      </c>
      <c r="M73" s="54">
        <v>165</v>
      </c>
      <c r="N73" s="54" t="s">
        <v>24</v>
      </c>
      <c r="O73" s="54">
        <v>1</v>
      </c>
    </row>
    <row r="74" spans="1:15" hidden="1" x14ac:dyDescent="0.25">
      <c r="A74" s="5">
        <v>2475</v>
      </c>
      <c r="B74" s="5" t="s">
        <v>162</v>
      </c>
      <c r="C74" s="5" t="s">
        <v>157</v>
      </c>
      <c r="D74" s="5" t="s">
        <v>158</v>
      </c>
      <c r="E74" s="6" t="s">
        <v>18</v>
      </c>
      <c r="F74" s="10">
        <v>1</v>
      </c>
      <c r="G74" s="10">
        <v>105</v>
      </c>
      <c r="H74" s="8" t="s">
        <v>19</v>
      </c>
      <c r="I74" s="8" t="s">
        <v>20</v>
      </c>
      <c r="J74" s="8" t="s">
        <v>21</v>
      </c>
      <c r="K74" s="6" t="s">
        <v>159</v>
      </c>
      <c r="L74" s="54" t="s">
        <v>23</v>
      </c>
      <c r="M74" s="54">
        <v>120</v>
      </c>
      <c r="N74" s="54" t="s">
        <v>24</v>
      </c>
      <c r="O74" s="54">
        <v>1</v>
      </c>
    </row>
    <row r="75" spans="1:15" hidden="1" x14ac:dyDescent="0.25">
      <c r="A75" s="5">
        <v>2480</v>
      </c>
      <c r="B75" s="5" t="s">
        <v>163</v>
      </c>
      <c r="C75" s="5" t="s">
        <v>157</v>
      </c>
      <c r="D75" s="5" t="s">
        <v>158</v>
      </c>
      <c r="E75" s="6" t="s">
        <v>18</v>
      </c>
      <c r="F75" s="10">
        <v>1</v>
      </c>
      <c r="G75" s="10">
        <v>248</v>
      </c>
      <c r="H75" s="8" t="s">
        <v>19</v>
      </c>
      <c r="I75" s="8" t="s">
        <v>20</v>
      </c>
      <c r="J75" s="8" t="s">
        <v>21</v>
      </c>
      <c r="K75" s="6" t="s">
        <v>159</v>
      </c>
      <c r="L75" s="54" t="s">
        <v>23</v>
      </c>
      <c r="M75" s="54">
        <v>200</v>
      </c>
      <c r="N75" s="54" t="s">
        <v>24</v>
      </c>
      <c r="O75" s="54">
        <v>1</v>
      </c>
    </row>
    <row r="76" spans="1:15" hidden="1" x14ac:dyDescent="0.25">
      <c r="A76" s="5">
        <v>2480</v>
      </c>
      <c r="B76" s="5" t="s">
        <v>163</v>
      </c>
      <c r="C76" s="5" t="s">
        <v>157</v>
      </c>
      <c r="D76" s="5" t="s">
        <v>158</v>
      </c>
      <c r="E76" s="6" t="s">
        <v>18</v>
      </c>
      <c r="F76" s="10">
        <v>1</v>
      </c>
      <c r="G76" s="10">
        <v>248</v>
      </c>
      <c r="H76" s="6" t="s">
        <v>27</v>
      </c>
      <c r="I76" s="8" t="s">
        <v>20</v>
      </c>
      <c r="J76" s="8" t="s">
        <v>28</v>
      </c>
      <c r="K76" s="6" t="s">
        <v>29</v>
      </c>
      <c r="L76" s="54" t="s">
        <v>23</v>
      </c>
      <c r="M76" s="54">
        <v>65</v>
      </c>
      <c r="N76" s="54" t="s">
        <v>24</v>
      </c>
      <c r="O76" s="54">
        <v>1</v>
      </c>
    </row>
    <row r="77" spans="1:15" hidden="1" x14ac:dyDescent="0.25">
      <c r="A77" s="5">
        <v>2485</v>
      </c>
      <c r="B77" s="5" t="s">
        <v>164</v>
      </c>
      <c r="C77" s="5" t="s">
        <v>157</v>
      </c>
      <c r="D77" s="5" t="s">
        <v>158</v>
      </c>
      <c r="E77" s="6" t="s">
        <v>18</v>
      </c>
      <c r="F77" s="10">
        <v>1</v>
      </c>
      <c r="G77" s="10">
        <v>248</v>
      </c>
      <c r="H77" s="8" t="s">
        <v>19</v>
      </c>
      <c r="I77" s="8" t="s">
        <v>20</v>
      </c>
      <c r="J77" s="8" t="s">
        <v>21</v>
      </c>
      <c r="K77" s="6" t="s">
        <v>159</v>
      </c>
      <c r="L77" s="54" t="s">
        <v>23</v>
      </c>
      <c r="M77" s="54">
        <v>200</v>
      </c>
      <c r="N77" s="54" t="s">
        <v>24</v>
      </c>
      <c r="O77" s="54">
        <v>1</v>
      </c>
    </row>
    <row r="78" spans="1:15" hidden="1" x14ac:dyDescent="0.25">
      <c r="A78" s="5">
        <v>2485</v>
      </c>
      <c r="B78" s="5" t="s">
        <v>164</v>
      </c>
      <c r="C78" s="5" t="s">
        <v>157</v>
      </c>
      <c r="D78" s="5" t="s">
        <v>158</v>
      </c>
      <c r="E78" s="6" t="s">
        <v>18</v>
      </c>
      <c r="F78" s="10">
        <v>1</v>
      </c>
      <c r="G78" s="10">
        <v>248</v>
      </c>
      <c r="H78" s="6" t="s">
        <v>27</v>
      </c>
      <c r="I78" s="8" t="s">
        <v>20</v>
      </c>
      <c r="J78" s="8" t="s">
        <v>28</v>
      </c>
      <c r="K78" s="6" t="s">
        <v>29</v>
      </c>
      <c r="L78" s="54" t="s">
        <v>23</v>
      </c>
      <c r="M78" s="54">
        <v>65</v>
      </c>
      <c r="N78" s="54" t="s">
        <v>24</v>
      </c>
      <c r="O78" s="54">
        <v>1</v>
      </c>
    </row>
    <row r="79" spans="1:15" hidden="1" x14ac:dyDescent="0.25">
      <c r="A79" s="5">
        <v>2515</v>
      </c>
      <c r="B79" s="5" t="s">
        <v>152</v>
      </c>
      <c r="C79" s="5" t="s">
        <v>153</v>
      </c>
      <c r="D79" s="5" t="s">
        <v>37</v>
      </c>
      <c r="E79" s="6" t="s">
        <v>18</v>
      </c>
      <c r="F79" s="10">
        <v>1</v>
      </c>
      <c r="G79" s="10">
        <v>200</v>
      </c>
      <c r="H79" s="6" t="s">
        <v>38</v>
      </c>
      <c r="I79" s="6" t="s">
        <v>30</v>
      </c>
      <c r="J79" s="6" t="s">
        <v>31</v>
      </c>
      <c r="K79" s="6" t="s">
        <v>32</v>
      </c>
      <c r="L79" s="54" t="s">
        <v>23</v>
      </c>
      <c r="M79" s="54">
        <v>200</v>
      </c>
      <c r="N79" s="54" t="s">
        <v>24</v>
      </c>
      <c r="O79" s="54">
        <v>1</v>
      </c>
    </row>
    <row r="80" spans="1:15" hidden="1" x14ac:dyDescent="0.25">
      <c r="A80" s="5">
        <v>2515</v>
      </c>
      <c r="B80" s="5" t="s">
        <v>152</v>
      </c>
      <c r="C80" s="5" t="s">
        <v>153</v>
      </c>
      <c r="D80" s="5" t="s">
        <v>37</v>
      </c>
      <c r="E80" s="6" t="s">
        <v>18</v>
      </c>
      <c r="F80" s="10">
        <v>1</v>
      </c>
      <c r="G80" s="10">
        <v>200</v>
      </c>
      <c r="H80" s="6" t="s">
        <v>27</v>
      </c>
      <c r="I80" s="6" t="s">
        <v>20</v>
      </c>
      <c r="J80" s="6" t="s">
        <v>28</v>
      </c>
      <c r="K80" s="6" t="s">
        <v>29</v>
      </c>
      <c r="L80" s="54" t="s">
        <v>23</v>
      </c>
      <c r="M80" s="54">
        <v>171.6</v>
      </c>
      <c r="N80" s="54" t="s">
        <v>24</v>
      </c>
      <c r="O80" s="54">
        <v>1</v>
      </c>
    </row>
    <row r="81" spans="1:15" hidden="1" x14ac:dyDescent="0.25">
      <c r="A81" s="5">
        <v>2515</v>
      </c>
      <c r="B81" s="5" t="s">
        <v>152</v>
      </c>
      <c r="C81" s="5" t="s">
        <v>153</v>
      </c>
      <c r="D81" s="5" t="s">
        <v>37</v>
      </c>
      <c r="E81" s="6" t="s">
        <v>18</v>
      </c>
      <c r="F81" s="10">
        <v>1</v>
      </c>
      <c r="G81" s="10">
        <v>200</v>
      </c>
      <c r="H81" s="8" t="s">
        <v>19</v>
      </c>
      <c r="I81" s="8" t="s">
        <v>20</v>
      </c>
      <c r="J81" s="6" t="s">
        <v>21</v>
      </c>
      <c r="K81" s="6" t="s">
        <v>43</v>
      </c>
      <c r="L81" s="54" t="s">
        <v>23</v>
      </c>
      <c r="M81" s="54">
        <v>63</v>
      </c>
      <c r="N81" s="54" t="s">
        <v>24</v>
      </c>
      <c r="O81" s="54">
        <v>1</v>
      </c>
    </row>
    <row r="82" spans="1:15" hidden="1" x14ac:dyDescent="0.25">
      <c r="A82" s="5">
        <v>2515</v>
      </c>
      <c r="B82" s="5" t="s">
        <v>152</v>
      </c>
      <c r="C82" s="5" t="s">
        <v>153</v>
      </c>
      <c r="D82" s="5" t="s">
        <v>37</v>
      </c>
      <c r="E82" s="6" t="s">
        <v>18</v>
      </c>
      <c r="F82" s="10">
        <v>1</v>
      </c>
      <c r="G82" s="10">
        <v>200</v>
      </c>
      <c r="H82" s="6" t="s">
        <v>27</v>
      </c>
      <c r="I82" s="6" t="s">
        <v>30</v>
      </c>
      <c r="J82" s="6" t="s">
        <v>31</v>
      </c>
      <c r="K82" s="6" t="s">
        <v>32</v>
      </c>
      <c r="L82" s="54" t="s">
        <v>23</v>
      </c>
      <c r="M82" s="54">
        <v>1.2</v>
      </c>
      <c r="N82" s="54" t="s">
        <v>24</v>
      </c>
      <c r="O82" s="54">
        <v>1</v>
      </c>
    </row>
    <row r="83" spans="1:15" hidden="1" x14ac:dyDescent="0.25">
      <c r="A83" s="5">
        <v>2520</v>
      </c>
      <c r="B83" s="5" t="s">
        <v>95</v>
      </c>
      <c r="C83" s="5" t="s">
        <v>96</v>
      </c>
      <c r="D83" s="5" t="s">
        <v>37</v>
      </c>
      <c r="E83" s="6" t="s">
        <v>18</v>
      </c>
      <c r="F83" s="10">
        <v>4</v>
      </c>
      <c r="G83" s="10">
        <v>60</v>
      </c>
      <c r="H83" s="6" t="s">
        <v>27</v>
      </c>
      <c r="I83" s="6" t="s">
        <v>20</v>
      </c>
      <c r="J83" s="6" t="s">
        <v>28</v>
      </c>
      <c r="K83" s="6" t="s">
        <v>29</v>
      </c>
      <c r="L83" s="54" t="s">
        <v>23</v>
      </c>
      <c r="M83" s="54">
        <v>255</v>
      </c>
      <c r="N83" s="54" t="s">
        <v>24</v>
      </c>
      <c r="O83" s="54">
        <v>1</v>
      </c>
    </row>
    <row r="84" spans="1:15" hidden="1" x14ac:dyDescent="0.25">
      <c r="A84" s="5">
        <v>2520</v>
      </c>
      <c r="B84" s="5" t="s">
        <v>95</v>
      </c>
      <c r="C84" s="5" t="s">
        <v>96</v>
      </c>
      <c r="D84" s="5" t="s">
        <v>37</v>
      </c>
      <c r="E84" s="6" t="s">
        <v>18</v>
      </c>
      <c r="F84" s="10">
        <v>4</v>
      </c>
      <c r="G84" s="10">
        <v>60</v>
      </c>
      <c r="H84" s="6" t="s">
        <v>38</v>
      </c>
      <c r="I84" s="6" t="s">
        <v>30</v>
      </c>
      <c r="J84" s="6" t="s">
        <v>31</v>
      </c>
      <c r="K84" s="6" t="s">
        <v>43</v>
      </c>
      <c r="L84" s="54" t="s">
        <v>23</v>
      </c>
      <c r="M84" s="54">
        <v>200</v>
      </c>
      <c r="N84" s="54" t="s">
        <v>24</v>
      </c>
      <c r="O84" s="54">
        <v>1</v>
      </c>
    </row>
    <row r="85" spans="1:15" hidden="1" x14ac:dyDescent="0.25">
      <c r="A85" s="5">
        <v>2520</v>
      </c>
      <c r="B85" s="5" t="s">
        <v>95</v>
      </c>
      <c r="C85" s="5" t="s">
        <v>96</v>
      </c>
      <c r="D85" s="5" t="s">
        <v>37</v>
      </c>
      <c r="E85" s="6" t="s">
        <v>18</v>
      </c>
      <c r="F85" s="10">
        <v>4</v>
      </c>
      <c r="G85" s="10">
        <v>60</v>
      </c>
      <c r="H85" s="6" t="s">
        <v>19</v>
      </c>
      <c r="I85" s="6" t="s">
        <v>30</v>
      </c>
      <c r="J85" s="6" t="s">
        <v>31</v>
      </c>
      <c r="K85" s="6" t="s">
        <v>43</v>
      </c>
      <c r="L85" s="54" t="s">
        <v>23</v>
      </c>
      <c r="M85" s="54">
        <v>20</v>
      </c>
      <c r="N85" s="54" t="s">
        <v>24</v>
      </c>
      <c r="O85" s="54">
        <v>1</v>
      </c>
    </row>
    <row r="86" spans="1:15" hidden="1" x14ac:dyDescent="0.25">
      <c r="A86" s="5">
        <v>2525</v>
      </c>
      <c r="B86" s="5" t="s">
        <v>97</v>
      </c>
      <c r="C86" s="5" t="s">
        <v>96</v>
      </c>
      <c r="D86" s="5" t="s">
        <v>37</v>
      </c>
      <c r="E86" s="6" t="s">
        <v>18</v>
      </c>
      <c r="F86" s="10">
        <v>1</v>
      </c>
      <c r="G86" s="10">
        <v>40</v>
      </c>
      <c r="H86" s="8" t="s">
        <v>19</v>
      </c>
      <c r="I86" s="8" t="s">
        <v>20</v>
      </c>
      <c r="J86" s="8" t="s">
        <v>21</v>
      </c>
      <c r="K86" s="6" t="s">
        <v>43</v>
      </c>
      <c r="L86" s="54" t="s">
        <v>23</v>
      </c>
      <c r="M86" s="54">
        <v>310</v>
      </c>
      <c r="N86" s="54" t="s">
        <v>24</v>
      </c>
      <c r="O86" s="54">
        <v>1</v>
      </c>
    </row>
    <row r="87" spans="1:15" hidden="1" x14ac:dyDescent="0.25">
      <c r="A87" s="5">
        <v>2525</v>
      </c>
      <c r="B87" s="5" t="s">
        <v>97</v>
      </c>
      <c r="C87" s="5" t="s">
        <v>96</v>
      </c>
      <c r="D87" s="5" t="s">
        <v>37</v>
      </c>
      <c r="E87" s="6" t="s">
        <v>18</v>
      </c>
      <c r="F87" s="10">
        <v>1</v>
      </c>
      <c r="G87" s="10">
        <v>40</v>
      </c>
      <c r="H87" s="6" t="s">
        <v>38</v>
      </c>
      <c r="I87" s="6" t="s">
        <v>30</v>
      </c>
      <c r="J87" s="6" t="s">
        <v>31</v>
      </c>
      <c r="K87" s="6" t="s">
        <v>32</v>
      </c>
      <c r="L87" s="54" t="s">
        <v>23</v>
      </c>
      <c r="M87" s="54">
        <v>200</v>
      </c>
      <c r="N87" s="54" t="s">
        <v>24</v>
      </c>
      <c r="O87" s="54">
        <v>1</v>
      </c>
    </row>
    <row r="88" spans="1:15" hidden="1" x14ac:dyDescent="0.25">
      <c r="A88" s="5">
        <v>2530</v>
      </c>
      <c r="B88" s="5" t="s">
        <v>98</v>
      </c>
      <c r="C88" s="5" t="s">
        <v>96</v>
      </c>
      <c r="D88" s="5" t="s">
        <v>37</v>
      </c>
      <c r="E88" s="6" t="s">
        <v>18</v>
      </c>
      <c r="F88" s="10">
        <v>1</v>
      </c>
      <c r="G88" s="10">
        <v>65</v>
      </c>
      <c r="H88" s="6" t="s">
        <v>38</v>
      </c>
      <c r="I88" s="6" t="s">
        <v>30</v>
      </c>
      <c r="J88" s="6" t="s">
        <v>31</v>
      </c>
      <c r="K88" s="6" t="s">
        <v>32</v>
      </c>
      <c r="L88" s="54" t="s">
        <v>23</v>
      </c>
      <c r="M88" s="54">
        <v>200</v>
      </c>
      <c r="N88" s="54" t="s">
        <v>24</v>
      </c>
      <c r="O88" s="54">
        <v>1</v>
      </c>
    </row>
    <row r="89" spans="1:15" hidden="1" x14ac:dyDescent="0.25">
      <c r="A89" s="5">
        <v>2530</v>
      </c>
      <c r="B89" s="5" t="s">
        <v>98</v>
      </c>
      <c r="C89" s="5" t="s">
        <v>96</v>
      </c>
      <c r="D89" s="5" t="s">
        <v>37</v>
      </c>
      <c r="E89" s="6" t="s">
        <v>18</v>
      </c>
      <c r="F89" s="10">
        <v>1</v>
      </c>
      <c r="G89" s="10">
        <v>65</v>
      </c>
      <c r="H89" s="8" t="s">
        <v>19</v>
      </c>
      <c r="I89" s="8" t="s">
        <v>20</v>
      </c>
      <c r="J89" s="8" t="s">
        <v>21</v>
      </c>
      <c r="K89" s="6" t="s">
        <v>43</v>
      </c>
      <c r="L89" s="54" t="s">
        <v>23</v>
      </c>
      <c r="M89" s="54">
        <v>152.26</v>
      </c>
      <c r="N89" s="54" t="s">
        <v>24</v>
      </c>
      <c r="O89" s="54">
        <v>1</v>
      </c>
    </row>
    <row r="90" spans="1:15" hidden="1" x14ac:dyDescent="0.25">
      <c r="A90" s="5">
        <v>2535</v>
      </c>
      <c r="B90" s="5" t="s">
        <v>99</v>
      </c>
      <c r="C90" s="5" t="s">
        <v>96</v>
      </c>
      <c r="D90" s="5" t="s">
        <v>37</v>
      </c>
      <c r="E90" s="6" t="s">
        <v>18</v>
      </c>
      <c r="F90" s="10">
        <v>1</v>
      </c>
      <c r="G90" s="10">
        <v>40</v>
      </c>
      <c r="H90" s="8" t="s">
        <v>19</v>
      </c>
      <c r="I90" s="8" t="s">
        <v>20</v>
      </c>
      <c r="J90" s="8" t="s">
        <v>21</v>
      </c>
      <c r="K90" s="6" t="s">
        <v>43</v>
      </c>
      <c r="L90" s="54" t="s">
        <v>23</v>
      </c>
      <c r="M90" s="54">
        <v>310</v>
      </c>
      <c r="N90" s="54" t="s">
        <v>24</v>
      </c>
      <c r="O90" s="54">
        <v>1</v>
      </c>
    </row>
    <row r="91" spans="1:15" hidden="1" x14ac:dyDescent="0.25">
      <c r="A91" s="5">
        <v>2535</v>
      </c>
      <c r="B91" s="5" t="s">
        <v>99</v>
      </c>
      <c r="C91" s="5" t="s">
        <v>96</v>
      </c>
      <c r="D91" s="5" t="s">
        <v>37</v>
      </c>
      <c r="E91" s="6" t="s">
        <v>18</v>
      </c>
      <c r="F91" s="10">
        <v>1</v>
      </c>
      <c r="G91" s="10">
        <v>40</v>
      </c>
      <c r="H91" s="6" t="s">
        <v>38</v>
      </c>
      <c r="I91" s="6" t="s">
        <v>30</v>
      </c>
      <c r="J91" s="6" t="s">
        <v>31</v>
      </c>
      <c r="K91" s="6" t="s">
        <v>32</v>
      </c>
      <c r="L91" s="54" t="s">
        <v>23</v>
      </c>
      <c r="M91" s="54">
        <v>200</v>
      </c>
      <c r="N91" s="54" t="s">
        <v>24</v>
      </c>
      <c r="O91" s="54">
        <v>1</v>
      </c>
    </row>
    <row r="92" spans="1:15" hidden="1" x14ac:dyDescent="0.25">
      <c r="A92" s="4">
        <v>5245</v>
      </c>
      <c r="B92" s="5" t="s">
        <v>46</v>
      </c>
      <c r="C92" s="5" t="s">
        <v>47</v>
      </c>
      <c r="D92" s="5" t="s">
        <v>48</v>
      </c>
      <c r="E92" s="6" t="s">
        <v>18</v>
      </c>
      <c r="F92" s="7">
        <v>12</v>
      </c>
      <c r="G92" s="7">
        <v>40</v>
      </c>
      <c r="H92" s="6" t="s">
        <v>27</v>
      </c>
      <c r="I92" s="6" t="s">
        <v>20</v>
      </c>
      <c r="J92" s="6" t="s">
        <v>28</v>
      </c>
      <c r="K92" s="6" t="s">
        <v>29</v>
      </c>
      <c r="L92" s="54" t="s">
        <v>23</v>
      </c>
      <c r="M92" s="55">
        <v>217</v>
      </c>
      <c r="N92" s="54" t="s">
        <v>24</v>
      </c>
      <c r="O92" s="54">
        <v>1</v>
      </c>
    </row>
    <row r="93" spans="1:15" hidden="1" x14ac:dyDescent="0.25">
      <c r="A93" s="4">
        <v>5245</v>
      </c>
      <c r="B93" s="5" t="s">
        <v>46</v>
      </c>
      <c r="C93" s="5" t="s">
        <v>47</v>
      </c>
      <c r="D93" s="5" t="s">
        <v>48</v>
      </c>
      <c r="E93" s="6" t="s">
        <v>18</v>
      </c>
      <c r="F93" s="7">
        <v>12</v>
      </c>
      <c r="G93" s="7">
        <v>40</v>
      </c>
      <c r="H93" s="6" t="s">
        <v>19</v>
      </c>
      <c r="I93" s="6" t="s">
        <v>20</v>
      </c>
      <c r="J93" s="6" t="s">
        <v>28</v>
      </c>
      <c r="K93" s="6" t="s">
        <v>29</v>
      </c>
      <c r="L93" s="54" t="s">
        <v>23</v>
      </c>
      <c r="M93" s="55">
        <v>56</v>
      </c>
      <c r="N93" s="54" t="s">
        <v>24</v>
      </c>
      <c r="O93" s="54">
        <v>1</v>
      </c>
    </row>
    <row r="94" spans="1:15" hidden="1" x14ac:dyDescent="0.25">
      <c r="A94" s="4">
        <v>5245</v>
      </c>
      <c r="B94" s="5" t="s">
        <v>46</v>
      </c>
      <c r="C94" s="5" t="s">
        <v>47</v>
      </c>
      <c r="D94" s="5" t="s">
        <v>48</v>
      </c>
      <c r="E94" s="6" t="s">
        <v>18</v>
      </c>
      <c r="F94" s="7">
        <v>12</v>
      </c>
      <c r="G94" s="7">
        <v>40</v>
      </c>
      <c r="H94" s="6" t="s">
        <v>19</v>
      </c>
      <c r="I94" s="6" t="s">
        <v>30</v>
      </c>
      <c r="J94" s="6" t="s">
        <v>31</v>
      </c>
      <c r="K94" s="6" t="s">
        <v>32</v>
      </c>
      <c r="L94" s="54" t="s">
        <v>23</v>
      </c>
      <c r="M94" s="55">
        <v>8</v>
      </c>
      <c r="N94" s="54" t="s">
        <v>24</v>
      </c>
      <c r="O94" s="54">
        <v>1</v>
      </c>
    </row>
    <row r="95" spans="1:15" hidden="1" x14ac:dyDescent="0.25">
      <c r="A95" s="4">
        <v>5250</v>
      </c>
      <c r="B95" s="5" t="s">
        <v>49</v>
      </c>
      <c r="C95" s="5" t="s">
        <v>47</v>
      </c>
      <c r="D95" s="5" t="s">
        <v>48</v>
      </c>
      <c r="E95" s="6" t="s">
        <v>18</v>
      </c>
      <c r="F95" s="9">
        <v>12</v>
      </c>
      <c r="G95" s="9">
        <v>95</v>
      </c>
      <c r="H95" s="6" t="s">
        <v>27</v>
      </c>
      <c r="I95" s="6" t="s">
        <v>20</v>
      </c>
      <c r="J95" s="6" t="s">
        <v>28</v>
      </c>
      <c r="K95" s="6" t="s">
        <v>29</v>
      </c>
      <c r="L95" s="54" t="s">
        <v>23</v>
      </c>
      <c r="M95" s="55">
        <v>420</v>
      </c>
      <c r="N95" s="54" t="s">
        <v>24</v>
      </c>
      <c r="O95" s="54">
        <v>1</v>
      </c>
    </row>
    <row r="96" spans="1:15" hidden="1" x14ac:dyDescent="0.25">
      <c r="A96" s="4">
        <v>5250</v>
      </c>
      <c r="B96" s="5" t="s">
        <v>49</v>
      </c>
      <c r="C96" s="5" t="s">
        <v>47</v>
      </c>
      <c r="D96" s="5" t="s">
        <v>48</v>
      </c>
      <c r="E96" s="6" t="s">
        <v>18</v>
      </c>
      <c r="F96" s="9">
        <v>12</v>
      </c>
      <c r="G96" s="9">
        <v>95</v>
      </c>
      <c r="H96" s="6" t="s">
        <v>19</v>
      </c>
      <c r="I96" s="6" t="s">
        <v>20</v>
      </c>
      <c r="J96" s="6" t="s">
        <v>28</v>
      </c>
      <c r="K96" s="6" t="s">
        <v>29</v>
      </c>
      <c r="L96" s="54" t="s">
        <v>23</v>
      </c>
      <c r="M96" s="55">
        <v>26</v>
      </c>
      <c r="N96" s="54" t="s">
        <v>24</v>
      </c>
      <c r="O96" s="54">
        <v>1</v>
      </c>
    </row>
    <row r="97" spans="1:15" hidden="1" x14ac:dyDescent="0.25">
      <c r="A97" s="4">
        <v>5250</v>
      </c>
      <c r="B97" s="5" t="s">
        <v>49</v>
      </c>
      <c r="C97" s="5" t="s">
        <v>47</v>
      </c>
      <c r="D97" s="5" t="s">
        <v>48</v>
      </c>
      <c r="E97" s="6" t="s">
        <v>18</v>
      </c>
      <c r="F97" s="9">
        <v>12</v>
      </c>
      <c r="G97" s="9">
        <v>95</v>
      </c>
      <c r="H97" s="6" t="s">
        <v>19</v>
      </c>
      <c r="I97" s="6" t="s">
        <v>30</v>
      </c>
      <c r="J97" s="6" t="s">
        <v>31</v>
      </c>
      <c r="K97" s="6" t="s">
        <v>32</v>
      </c>
      <c r="L97" s="54" t="s">
        <v>23</v>
      </c>
      <c r="M97" s="55">
        <v>4</v>
      </c>
      <c r="N97" s="54" t="s">
        <v>24</v>
      </c>
      <c r="O97" s="54">
        <v>1</v>
      </c>
    </row>
    <row r="98" spans="1:15" hidden="1" x14ac:dyDescent="0.25">
      <c r="A98" s="5">
        <v>5930</v>
      </c>
      <c r="B98" s="5" t="s">
        <v>116</v>
      </c>
      <c r="C98" s="5" t="s">
        <v>117</v>
      </c>
      <c r="D98" s="5" t="s">
        <v>118</v>
      </c>
      <c r="E98" s="6" t="s">
        <v>18</v>
      </c>
      <c r="F98" s="10">
        <v>12</v>
      </c>
      <c r="G98" s="10">
        <v>48</v>
      </c>
      <c r="H98" s="6" t="s">
        <v>27</v>
      </c>
      <c r="I98" s="6" t="s">
        <v>20</v>
      </c>
      <c r="J98" s="6" t="s">
        <v>28</v>
      </c>
      <c r="K98" s="6" t="s">
        <v>29</v>
      </c>
      <c r="L98" s="54" t="s">
        <v>23</v>
      </c>
      <c r="M98" s="55">
        <v>250</v>
      </c>
      <c r="N98" s="54" t="s">
        <v>24</v>
      </c>
      <c r="O98" s="54">
        <v>1</v>
      </c>
    </row>
    <row r="99" spans="1:15" hidden="1" x14ac:dyDescent="0.25">
      <c r="A99" s="5">
        <v>5930</v>
      </c>
      <c r="B99" s="5" t="s">
        <v>116</v>
      </c>
      <c r="C99" s="5" t="s">
        <v>117</v>
      </c>
      <c r="D99" s="5" t="s">
        <v>118</v>
      </c>
      <c r="E99" s="6" t="s">
        <v>18</v>
      </c>
      <c r="F99" s="10">
        <v>12</v>
      </c>
      <c r="G99" s="10">
        <v>48</v>
      </c>
      <c r="H99" s="6" t="s">
        <v>19</v>
      </c>
      <c r="I99" s="6" t="s">
        <v>20</v>
      </c>
      <c r="J99" s="6" t="s">
        <v>28</v>
      </c>
      <c r="K99" s="6" t="s">
        <v>61</v>
      </c>
      <c r="L99" s="54" t="s">
        <v>23</v>
      </c>
      <c r="M99" s="55">
        <v>37</v>
      </c>
      <c r="N99" s="54" t="s">
        <v>24</v>
      </c>
      <c r="O99" s="54">
        <v>1</v>
      </c>
    </row>
    <row r="100" spans="1:15" hidden="1" x14ac:dyDescent="0.25">
      <c r="A100" s="5">
        <v>5930</v>
      </c>
      <c r="B100" s="5" t="s">
        <v>116</v>
      </c>
      <c r="C100" s="5" t="s">
        <v>117</v>
      </c>
      <c r="D100" s="5" t="s">
        <v>118</v>
      </c>
      <c r="E100" s="6" t="s">
        <v>18</v>
      </c>
      <c r="F100" s="10">
        <v>12</v>
      </c>
      <c r="G100" s="10">
        <v>48</v>
      </c>
      <c r="H100" s="6" t="s">
        <v>19</v>
      </c>
      <c r="I100" s="6" t="s">
        <v>20</v>
      </c>
      <c r="J100" s="6" t="s">
        <v>28</v>
      </c>
      <c r="K100" s="6" t="s">
        <v>29</v>
      </c>
      <c r="L100" s="54" t="s">
        <v>23</v>
      </c>
      <c r="M100" s="55">
        <v>25</v>
      </c>
      <c r="N100" s="54" t="s">
        <v>24</v>
      </c>
      <c r="O100" s="54">
        <v>1</v>
      </c>
    </row>
    <row r="101" spans="1:15" hidden="1" x14ac:dyDescent="0.25">
      <c r="A101" s="5">
        <v>5955</v>
      </c>
      <c r="B101" s="5" t="s">
        <v>154</v>
      </c>
      <c r="C101" s="5" t="s">
        <v>155</v>
      </c>
      <c r="D101" s="5" t="s">
        <v>37</v>
      </c>
      <c r="E101" s="6" t="s">
        <v>18</v>
      </c>
      <c r="F101" s="10">
        <v>4</v>
      </c>
      <c r="G101" s="10">
        <v>40</v>
      </c>
      <c r="H101" s="6" t="s">
        <v>38</v>
      </c>
      <c r="I101" s="6" t="s">
        <v>30</v>
      </c>
      <c r="J101" s="6" t="s">
        <v>31</v>
      </c>
      <c r="K101" s="6" t="s">
        <v>32</v>
      </c>
      <c r="L101" s="54" t="s">
        <v>23</v>
      </c>
      <c r="M101" s="54">
        <v>200</v>
      </c>
      <c r="N101" s="54" t="s">
        <v>24</v>
      </c>
      <c r="O101" s="54">
        <v>1</v>
      </c>
    </row>
    <row r="102" spans="1:15" hidden="1" x14ac:dyDescent="0.25">
      <c r="A102" s="5">
        <v>5955</v>
      </c>
      <c r="B102" s="5" t="s">
        <v>154</v>
      </c>
      <c r="C102" s="5" t="s">
        <v>155</v>
      </c>
      <c r="D102" s="5" t="s">
        <v>37</v>
      </c>
      <c r="E102" s="6" t="s">
        <v>18</v>
      </c>
      <c r="F102" s="10">
        <v>4</v>
      </c>
      <c r="G102" s="10">
        <v>40</v>
      </c>
      <c r="H102" s="6" t="s">
        <v>19</v>
      </c>
      <c r="I102" s="6" t="s">
        <v>30</v>
      </c>
      <c r="J102" s="6" t="s">
        <v>138</v>
      </c>
      <c r="K102" s="6" t="s">
        <v>141</v>
      </c>
      <c r="L102" s="54" t="s">
        <v>23</v>
      </c>
      <c r="M102" s="54">
        <v>144.6</v>
      </c>
      <c r="N102" s="54" t="s">
        <v>24</v>
      </c>
      <c r="O102" s="54">
        <v>1</v>
      </c>
    </row>
    <row r="103" spans="1:15" hidden="1" x14ac:dyDescent="0.25">
      <c r="A103" s="5">
        <v>5955</v>
      </c>
      <c r="B103" s="5" t="s">
        <v>154</v>
      </c>
      <c r="C103" s="5" t="s">
        <v>155</v>
      </c>
      <c r="D103" s="5" t="s">
        <v>37</v>
      </c>
      <c r="E103" s="6" t="s">
        <v>18</v>
      </c>
      <c r="F103" s="10">
        <v>4</v>
      </c>
      <c r="G103" s="10">
        <v>40</v>
      </c>
      <c r="H103" s="6" t="s">
        <v>19</v>
      </c>
      <c r="I103" s="6" t="s">
        <v>20</v>
      </c>
      <c r="J103" s="6" t="s">
        <v>21</v>
      </c>
      <c r="K103" s="6" t="s">
        <v>22</v>
      </c>
      <c r="L103" s="54" t="s">
        <v>23</v>
      </c>
      <c r="M103" s="54">
        <v>2</v>
      </c>
      <c r="N103" s="54" t="s">
        <v>24</v>
      </c>
      <c r="O103" s="54">
        <v>1</v>
      </c>
    </row>
    <row r="104" spans="1:15" hidden="1" x14ac:dyDescent="0.25">
      <c r="A104" s="4">
        <v>10026</v>
      </c>
      <c r="B104" s="5" t="s">
        <v>77</v>
      </c>
      <c r="C104" s="5" t="s">
        <v>78</v>
      </c>
      <c r="D104" s="5" t="s">
        <v>37</v>
      </c>
      <c r="E104" s="6" t="s">
        <v>18</v>
      </c>
      <c r="F104" s="9">
        <v>12</v>
      </c>
      <c r="G104" s="9">
        <v>140</v>
      </c>
      <c r="H104" s="6" t="s">
        <v>38</v>
      </c>
      <c r="I104" s="6" t="s">
        <v>30</v>
      </c>
      <c r="J104" s="6" t="s">
        <v>31</v>
      </c>
      <c r="K104" s="6" t="s">
        <v>32</v>
      </c>
      <c r="L104" s="54" t="s">
        <v>23</v>
      </c>
      <c r="M104" s="55">
        <v>200</v>
      </c>
      <c r="N104" s="54" t="s">
        <v>24</v>
      </c>
      <c r="O104" s="54">
        <v>1</v>
      </c>
    </row>
    <row r="105" spans="1:15" hidden="1" x14ac:dyDescent="0.25">
      <c r="A105" s="4">
        <v>10026</v>
      </c>
      <c r="B105" s="5" t="s">
        <v>77</v>
      </c>
      <c r="C105" s="5" t="s">
        <v>78</v>
      </c>
      <c r="D105" s="5" t="s">
        <v>37</v>
      </c>
      <c r="E105" s="6" t="s">
        <v>18</v>
      </c>
      <c r="F105" s="9">
        <v>12</v>
      </c>
      <c r="G105" s="9">
        <v>140</v>
      </c>
      <c r="H105" s="6" t="s">
        <v>27</v>
      </c>
      <c r="I105" s="6" t="s">
        <v>20</v>
      </c>
      <c r="J105" s="6" t="s">
        <v>28</v>
      </c>
      <c r="K105" s="6" t="s">
        <v>29</v>
      </c>
      <c r="L105" s="54" t="s">
        <v>23</v>
      </c>
      <c r="M105" s="55">
        <v>130</v>
      </c>
      <c r="N105" s="54" t="s">
        <v>24</v>
      </c>
      <c r="O105" s="54">
        <v>1</v>
      </c>
    </row>
    <row r="106" spans="1:15" hidden="1" x14ac:dyDescent="0.25">
      <c r="A106" s="4">
        <v>10026</v>
      </c>
      <c r="B106" s="5" t="s">
        <v>77</v>
      </c>
      <c r="C106" s="5" t="s">
        <v>78</v>
      </c>
      <c r="D106" s="5" t="s">
        <v>37</v>
      </c>
      <c r="E106" s="6" t="s">
        <v>18</v>
      </c>
      <c r="F106" s="9">
        <v>12</v>
      </c>
      <c r="G106" s="9">
        <v>140</v>
      </c>
      <c r="H106" s="6" t="s">
        <v>19</v>
      </c>
      <c r="I106" s="6" t="s">
        <v>30</v>
      </c>
      <c r="J106" s="6" t="s">
        <v>31</v>
      </c>
      <c r="K106" s="6" t="s">
        <v>32</v>
      </c>
      <c r="L106" s="54" t="s">
        <v>23</v>
      </c>
      <c r="M106" s="55">
        <v>5.5</v>
      </c>
      <c r="N106" s="54" t="s">
        <v>24</v>
      </c>
      <c r="O106" s="54">
        <v>1</v>
      </c>
    </row>
    <row r="107" spans="1:15" hidden="1" x14ac:dyDescent="0.25">
      <c r="A107" s="4">
        <v>10027</v>
      </c>
      <c r="B107" s="5" t="s">
        <v>79</v>
      </c>
      <c r="C107" s="5" t="s">
        <v>78</v>
      </c>
      <c r="D107" s="5" t="s">
        <v>37</v>
      </c>
      <c r="E107" s="6" t="s">
        <v>18</v>
      </c>
      <c r="F107" s="9">
        <v>12</v>
      </c>
      <c r="G107" s="9">
        <v>54</v>
      </c>
      <c r="H107" s="6" t="s">
        <v>38</v>
      </c>
      <c r="I107" s="6" t="s">
        <v>30</v>
      </c>
      <c r="J107" s="6" t="s">
        <v>31</v>
      </c>
      <c r="K107" s="6" t="s">
        <v>32</v>
      </c>
      <c r="L107" s="54" t="s">
        <v>23</v>
      </c>
      <c r="M107" s="55">
        <v>200</v>
      </c>
      <c r="N107" s="54" t="s">
        <v>24</v>
      </c>
      <c r="O107" s="54">
        <v>1</v>
      </c>
    </row>
    <row r="108" spans="1:15" hidden="1" x14ac:dyDescent="0.25">
      <c r="A108" s="4">
        <v>10027</v>
      </c>
      <c r="B108" s="5" t="s">
        <v>79</v>
      </c>
      <c r="C108" s="5" t="s">
        <v>78</v>
      </c>
      <c r="D108" s="5" t="s">
        <v>37</v>
      </c>
      <c r="E108" s="6" t="s">
        <v>18</v>
      </c>
      <c r="F108" s="9">
        <v>12</v>
      </c>
      <c r="G108" s="9">
        <v>54</v>
      </c>
      <c r="H108" s="6" t="s">
        <v>27</v>
      </c>
      <c r="I108" s="6" t="s">
        <v>20</v>
      </c>
      <c r="J108" s="6" t="s">
        <v>28</v>
      </c>
      <c r="K108" s="6" t="s">
        <v>29</v>
      </c>
      <c r="L108" s="54" t="s">
        <v>23</v>
      </c>
      <c r="M108" s="55">
        <v>120</v>
      </c>
      <c r="N108" s="54" t="s">
        <v>24</v>
      </c>
      <c r="O108" s="54">
        <v>1</v>
      </c>
    </row>
    <row r="109" spans="1:15" hidden="1" x14ac:dyDescent="0.25">
      <c r="A109" s="4">
        <v>10027</v>
      </c>
      <c r="B109" s="5" t="s">
        <v>79</v>
      </c>
      <c r="C109" s="5" t="s">
        <v>78</v>
      </c>
      <c r="D109" s="5" t="s">
        <v>37</v>
      </c>
      <c r="E109" s="6" t="s">
        <v>18</v>
      </c>
      <c r="F109" s="9">
        <v>12</v>
      </c>
      <c r="G109" s="9">
        <v>54</v>
      </c>
      <c r="H109" s="6" t="s">
        <v>19</v>
      </c>
      <c r="I109" s="6" t="s">
        <v>30</v>
      </c>
      <c r="J109" s="6" t="s">
        <v>31</v>
      </c>
      <c r="K109" s="6" t="s">
        <v>32</v>
      </c>
      <c r="L109" s="54" t="s">
        <v>23</v>
      </c>
      <c r="M109" s="55">
        <v>8</v>
      </c>
      <c r="N109" s="54" t="s">
        <v>24</v>
      </c>
      <c r="O109" s="54">
        <v>1</v>
      </c>
    </row>
    <row r="110" spans="1:15" hidden="1" x14ac:dyDescent="0.25">
      <c r="A110" s="4">
        <v>10028</v>
      </c>
      <c r="B110" s="5" t="s">
        <v>80</v>
      </c>
      <c r="C110" s="5" t="s">
        <v>78</v>
      </c>
      <c r="D110" s="5" t="s">
        <v>37</v>
      </c>
      <c r="E110" s="6" t="s">
        <v>18</v>
      </c>
      <c r="F110" s="9">
        <v>12</v>
      </c>
      <c r="G110" s="9">
        <v>54</v>
      </c>
      <c r="H110" s="6" t="s">
        <v>27</v>
      </c>
      <c r="I110" s="6" t="s">
        <v>20</v>
      </c>
      <c r="J110" s="6" t="s">
        <v>28</v>
      </c>
      <c r="K110" s="6" t="s">
        <v>29</v>
      </c>
      <c r="L110" s="54" t="s">
        <v>23</v>
      </c>
      <c r="M110" s="55">
        <v>290</v>
      </c>
      <c r="N110" s="54" t="s">
        <v>24</v>
      </c>
      <c r="O110" s="54">
        <v>1</v>
      </c>
    </row>
    <row r="111" spans="1:15" hidden="1" x14ac:dyDescent="0.25">
      <c r="A111" s="4">
        <v>10028</v>
      </c>
      <c r="B111" s="5" t="s">
        <v>80</v>
      </c>
      <c r="C111" s="5" t="s">
        <v>78</v>
      </c>
      <c r="D111" s="5" t="s">
        <v>37</v>
      </c>
      <c r="E111" s="6" t="s">
        <v>18</v>
      </c>
      <c r="F111" s="9">
        <v>12</v>
      </c>
      <c r="G111" s="9">
        <v>54</v>
      </c>
      <c r="H111" s="6" t="s">
        <v>38</v>
      </c>
      <c r="I111" s="6" t="s">
        <v>30</v>
      </c>
      <c r="J111" s="6" t="s">
        <v>31</v>
      </c>
      <c r="K111" s="6" t="s">
        <v>32</v>
      </c>
      <c r="L111" s="54" t="s">
        <v>23</v>
      </c>
      <c r="M111" s="55">
        <v>200</v>
      </c>
      <c r="N111" s="54" t="s">
        <v>24</v>
      </c>
      <c r="O111" s="54">
        <v>1</v>
      </c>
    </row>
    <row r="112" spans="1:15" hidden="1" x14ac:dyDescent="0.25">
      <c r="A112" s="4">
        <v>10028</v>
      </c>
      <c r="B112" s="5" t="s">
        <v>80</v>
      </c>
      <c r="C112" s="5" t="s">
        <v>78</v>
      </c>
      <c r="D112" s="5" t="s">
        <v>37</v>
      </c>
      <c r="E112" s="6" t="s">
        <v>18</v>
      </c>
      <c r="F112" s="9">
        <v>12</v>
      </c>
      <c r="G112" s="9">
        <v>54</v>
      </c>
      <c r="H112" s="6" t="s">
        <v>19</v>
      </c>
      <c r="I112" s="6" t="s">
        <v>30</v>
      </c>
      <c r="J112" s="6" t="s">
        <v>31</v>
      </c>
      <c r="K112" s="6" t="s">
        <v>32</v>
      </c>
      <c r="L112" s="54" t="s">
        <v>23</v>
      </c>
      <c r="M112" s="55">
        <v>8</v>
      </c>
      <c r="N112" s="54" t="s">
        <v>24</v>
      </c>
      <c r="O112" s="54">
        <v>1</v>
      </c>
    </row>
    <row r="113" spans="1:15" hidden="1" x14ac:dyDescent="0.25">
      <c r="A113" s="4">
        <v>10037</v>
      </c>
      <c r="B113" s="5" t="s">
        <v>41</v>
      </c>
      <c r="C113" s="5" t="s">
        <v>42</v>
      </c>
      <c r="D113" s="5" t="s">
        <v>37</v>
      </c>
      <c r="E113" s="6" t="s">
        <v>18</v>
      </c>
      <c r="F113" s="7">
        <v>8</v>
      </c>
      <c r="G113" s="7">
        <v>63</v>
      </c>
      <c r="H113" s="6" t="s">
        <v>38</v>
      </c>
      <c r="I113" s="6" t="s">
        <v>30</v>
      </c>
      <c r="J113" s="6" t="s">
        <v>31</v>
      </c>
      <c r="K113" s="6" t="s">
        <v>32</v>
      </c>
      <c r="L113" s="54" t="s">
        <v>23</v>
      </c>
      <c r="M113" s="55">
        <v>200</v>
      </c>
      <c r="N113" s="54" t="s">
        <v>24</v>
      </c>
      <c r="O113" s="54">
        <v>1</v>
      </c>
    </row>
    <row r="114" spans="1:15" hidden="1" x14ac:dyDescent="0.25">
      <c r="A114" s="4">
        <v>10037</v>
      </c>
      <c r="B114" s="5" t="s">
        <v>41</v>
      </c>
      <c r="C114" s="5" t="s">
        <v>42</v>
      </c>
      <c r="D114" s="5" t="s">
        <v>37</v>
      </c>
      <c r="E114" s="6" t="s">
        <v>18</v>
      </c>
      <c r="F114" s="7">
        <v>8</v>
      </c>
      <c r="G114" s="7">
        <v>63</v>
      </c>
      <c r="H114" s="6" t="s">
        <v>27</v>
      </c>
      <c r="I114" s="6" t="s">
        <v>30</v>
      </c>
      <c r="J114" s="6" t="s">
        <v>31</v>
      </c>
      <c r="K114" s="6" t="s">
        <v>32</v>
      </c>
      <c r="L114" s="54" t="s">
        <v>23</v>
      </c>
      <c r="M114" s="55">
        <v>45.36</v>
      </c>
      <c r="N114" s="54" t="s">
        <v>24</v>
      </c>
      <c r="O114" s="54">
        <v>1</v>
      </c>
    </row>
    <row r="115" spans="1:15" hidden="1" x14ac:dyDescent="0.25">
      <c r="A115" s="4">
        <v>10037</v>
      </c>
      <c r="B115" s="5" t="s">
        <v>41</v>
      </c>
      <c r="C115" s="5" t="s">
        <v>42</v>
      </c>
      <c r="D115" s="5" t="s">
        <v>37</v>
      </c>
      <c r="E115" s="6" t="s">
        <v>18</v>
      </c>
      <c r="F115" s="7">
        <v>8</v>
      </c>
      <c r="G115" s="7">
        <v>63</v>
      </c>
      <c r="H115" s="6" t="s">
        <v>19</v>
      </c>
      <c r="I115" s="8" t="s">
        <v>20</v>
      </c>
      <c r="J115" s="8" t="s">
        <v>21</v>
      </c>
      <c r="K115" s="6" t="s">
        <v>43</v>
      </c>
      <c r="L115" s="54" t="s">
        <v>23</v>
      </c>
      <c r="M115" s="55">
        <v>14.84</v>
      </c>
      <c r="N115" s="54" t="s">
        <v>24</v>
      </c>
      <c r="O115" s="54">
        <v>1</v>
      </c>
    </row>
    <row r="116" spans="1:15" hidden="1" x14ac:dyDescent="0.25">
      <c r="A116" s="4">
        <v>10038</v>
      </c>
      <c r="B116" s="5" t="s">
        <v>44</v>
      </c>
      <c r="C116" s="5" t="s">
        <v>42</v>
      </c>
      <c r="D116" s="5" t="s">
        <v>37</v>
      </c>
      <c r="E116" s="6" t="s">
        <v>18</v>
      </c>
      <c r="F116" s="7">
        <v>8</v>
      </c>
      <c r="G116" s="7">
        <v>63</v>
      </c>
      <c r="H116" s="6" t="s">
        <v>38</v>
      </c>
      <c r="I116" s="6" t="s">
        <v>30</v>
      </c>
      <c r="J116" s="6" t="s">
        <v>31</v>
      </c>
      <c r="K116" s="6" t="s">
        <v>32</v>
      </c>
      <c r="L116" s="54" t="s">
        <v>23</v>
      </c>
      <c r="M116" s="55">
        <v>200</v>
      </c>
      <c r="N116" s="54" t="s">
        <v>24</v>
      </c>
      <c r="O116" s="54">
        <v>1</v>
      </c>
    </row>
    <row r="117" spans="1:15" hidden="1" x14ac:dyDescent="0.25">
      <c r="A117" s="4">
        <v>10038</v>
      </c>
      <c r="B117" s="5" t="s">
        <v>44</v>
      </c>
      <c r="C117" s="5" t="s">
        <v>42</v>
      </c>
      <c r="D117" s="5" t="s">
        <v>37</v>
      </c>
      <c r="E117" s="6" t="s">
        <v>18</v>
      </c>
      <c r="F117" s="7">
        <v>8</v>
      </c>
      <c r="G117" s="7">
        <v>63</v>
      </c>
      <c r="H117" s="6" t="s">
        <v>27</v>
      </c>
      <c r="I117" s="6" t="s">
        <v>30</v>
      </c>
      <c r="J117" s="6" t="s">
        <v>31</v>
      </c>
      <c r="K117" s="6" t="s">
        <v>32</v>
      </c>
      <c r="L117" s="54" t="s">
        <v>23</v>
      </c>
      <c r="M117" s="55">
        <v>45.36</v>
      </c>
      <c r="N117" s="54" t="s">
        <v>24</v>
      </c>
      <c r="O117" s="54">
        <v>1</v>
      </c>
    </row>
    <row r="118" spans="1:15" hidden="1" x14ac:dyDescent="0.25">
      <c r="A118" s="4">
        <v>10038</v>
      </c>
      <c r="B118" s="5" t="s">
        <v>44</v>
      </c>
      <c r="C118" s="5" t="s">
        <v>42</v>
      </c>
      <c r="D118" s="5" t="s">
        <v>37</v>
      </c>
      <c r="E118" s="6" t="s">
        <v>18</v>
      </c>
      <c r="F118" s="7">
        <v>8</v>
      </c>
      <c r="G118" s="7">
        <v>63</v>
      </c>
      <c r="H118" s="6" t="s">
        <v>19</v>
      </c>
      <c r="I118" s="8" t="s">
        <v>20</v>
      </c>
      <c r="J118" s="8" t="s">
        <v>21</v>
      </c>
      <c r="K118" s="6" t="s">
        <v>43</v>
      </c>
      <c r="L118" s="54" t="s">
        <v>23</v>
      </c>
      <c r="M118" s="55">
        <v>14.84</v>
      </c>
      <c r="N118" s="54" t="s">
        <v>24</v>
      </c>
      <c r="O118" s="54">
        <v>1</v>
      </c>
    </row>
    <row r="119" spans="1:15" hidden="1" x14ac:dyDescent="0.25">
      <c r="A119" s="4">
        <v>10039</v>
      </c>
      <c r="B119" s="5" t="s">
        <v>45</v>
      </c>
      <c r="C119" s="5" t="s">
        <v>42</v>
      </c>
      <c r="D119" s="5" t="s">
        <v>37</v>
      </c>
      <c r="E119" s="6" t="s">
        <v>18</v>
      </c>
      <c r="F119" s="7">
        <v>8</v>
      </c>
      <c r="G119" s="7">
        <v>63</v>
      </c>
      <c r="H119" s="6" t="s">
        <v>38</v>
      </c>
      <c r="I119" s="6" t="s">
        <v>30</v>
      </c>
      <c r="J119" s="6" t="s">
        <v>31</v>
      </c>
      <c r="K119" s="6" t="s">
        <v>32</v>
      </c>
      <c r="L119" s="54" t="s">
        <v>23</v>
      </c>
      <c r="M119" s="55">
        <v>200</v>
      </c>
      <c r="N119" s="54" t="s">
        <v>24</v>
      </c>
      <c r="O119" s="54">
        <v>1</v>
      </c>
    </row>
    <row r="120" spans="1:15" hidden="1" x14ac:dyDescent="0.25">
      <c r="A120" s="4">
        <v>10039</v>
      </c>
      <c r="B120" s="5" t="s">
        <v>45</v>
      </c>
      <c r="C120" s="5" t="s">
        <v>42</v>
      </c>
      <c r="D120" s="5" t="s">
        <v>37</v>
      </c>
      <c r="E120" s="6" t="s">
        <v>18</v>
      </c>
      <c r="F120" s="7">
        <v>8</v>
      </c>
      <c r="G120" s="7">
        <v>63</v>
      </c>
      <c r="H120" s="6" t="s">
        <v>27</v>
      </c>
      <c r="I120" s="6" t="s">
        <v>30</v>
      </c>
      <c r="J120" s="6" t="s">
        <v>31</v>
      </c>
      <c r="K120" s="6" t="s">
        <v>32</v>
      </c>
      <c r="L120" s="54" t="s">
        <v>23</v>
      </c>
      <c r="M120" s="55">
        <v>45.36</v>
      </c>
      <c r="N120" s="54" t="s">
        <v>24</v>
      </c>
      <c r="O120" s="54">
        <v>1</v>
      </c>
    </row>
    <row r="121" spans="1:15" hidden="1" x14ac:dyDescent="0.25">
      <c r="A121" s="4">
        <v>10039</v>
      </c>
      <c r="B121" s="5" t="s">
        <v>45</v>
      </c>
      <c r="C121" s="5" t="s">
        <v>42</v>
      </c>
      <c r="D121" s="5" t="s">
        <v>37</v>
      </c>
      <c r="E121" s="6" t="s">
        <v>18</v>
      </c>
      <c r="F121" s="7">
        <v>8</v>
      </c>
      <c r="G121" s="7">
        <v>63</v>
      </c>
      <c r="H121" s="6" t="s">
        <v>19</v>
      </c>
      <c r="I121" s="8" t="s">
        <v>20</v>
      </c>
      <c r="J121" s="8" t="s">
        <v>21</v>
      </c>
      <c r="K121" s="6" t="s">
        <v>43</v>
      </c>
      <c r="L121" s="54" t="s">
        <v>23</v>
      </c>
      <c r="M121" s="55">
        <v>14.84</v>
      </c>
      <c r="N121" s="54" t="s">
        <v>24</v>
      </c>
      <c r="O121" s="54">
        <v>1</v>
      </c>
    </row>
    <row r="122" spans="1:15" hidden="1" x14ac:dyDescent="0.25">
      <c r="A122" s="4">
        <v>10050</v>
      </c>
      <c r="B122" s="5" t="s">
        <v>65</v>
      </c>
      <c r="C122" s="5" t="s">
        <v>66</v>
      </c>
      <c r="D122" s="5" t="s">
        <v>67</v>
      </c>
      <c r="E122" s="5" t="s">
        <v>18</v>
      </c>
      <c r="F122" s="7">
        <v>12</v>
      </c>
      <c r="G122" s="7">
        <v>68</v>
      </c>
      <c r="H122" s="8" t="s">
        <v>27</v>
      </c>
      <c r="I122" s="8" t="s">
        <v>20</v>
      </c>
      <c r="J122" s="8" t="s">
        <v>28</v>
      </c>
      <c r="K122" s="6" t="s">
        <v>29</v>
      </c>
      <c r="L122" s="54" t="s">
        <v>23</v>
      </c>
      <c r="M122" s="55">
        <v>180</v>
      </c>
      <c r="N122" s="54" t="s">
        <v>24</v>
      </c>
      <c r="O122" s="54">
        <v>1</v>
      </c>
    </row>
    <row r="123" spans="1:15" hidden="1" x14ac:dyDescent="0.25">
      <c r="A123" s="4">
        <v>10050</v>
      </c>
      <c r="B123" s="5" t="s">
        <v>65</v>
      </c>
      <c r="C123" s="5" t="s">
        <v>66</v>
      </c>
      <c r="D123" s="5" t="s">
        <v>67</v>
      </c>
      <c r="E123" s="5" t="s">
        <v>18</v>
      </c>
      <c r="F123" s="7">
        <v>12</v>
      </c>
      <c r="G123" s="7">
        <v>68</v>
      </c>
      <c r="H123" s="8" t="s">
        <v>19</v>
      </c>
      <c r="I123" s="6" t="s">
        <v>68</v>
      </c>
      <c r="J123" s="6" t="s">
        <v>69</v>
      </c>
      <c r="K123" s="6" t="s">
        <v>70</v>
      </c>
      <c r="L123" s="54" t="s">
        <v>23</v>
      </c>
      <c r="M123" s="55">
        <v>17</v>
      </c>
      <c r="N123" s="54" t="s">
        <v>24</v>
      </c>
      <c r="O123" s="54">
        <v>1</v>
      </c>
    </row>
    <row r="124" spans="1:15" hidden="1" x14ac:dyDescent="0.25">
      <c r="A124" s="4">
        <v>10050</v>
      </c>
      <c r="B124" s="5" t="s">
        <v>65</v>
      </c>
      <c r="C124" s="5" t="s">
        <v>66</v>
      </c>
      <c r="D124" s="5" t="s">
        <v>67</v>
      </c>
      <c r="E124" s="5" t="s">
        <v>18</v>
      </c>
      <c r="F124" s="7">
        <v>12</v>
      </c>
      <c r="G124" s="7">
        <v>68</v>
      </c>
      <c r="H124" s="8" t="s">
        <v>19</v>
      </c>
      <c r="I124" s="6" t="s">
        <v>68</v>
      </c>
      <c r="J124" s="6" t="s">
        <v>71</v>
      </c>
      <c r="K124" s="6" t="s">
        <v>70</v>
      </c>
      <c r="L124" s="54" t="s">
        <v>23</v>
      </c>
      <c r="M124" s="55">
        <v>10.199999999999999</v>
      </c>
      <c r="N124" s="54" t="s">
        <v>24</v>
      </c>
      <c r="O124" s="54">
        <v>1</v>
      </c>
    </row>
    <row r="125" spans="1:15" hidden="1" x14ac:dyDescent="0.25">
      <c r="A125" s="4">
        <v>10050</v>
      </c>
      <c r="B125" s="5" t="s">
        <v>65</v>
      </c>
      <c r="C125" s="5" t="s">
        <v>66</v>
      </c>
      <c r="D125" s="5" t="s">
        <v>67</v>
      </c>
      <c r="E125" s="5" t="s">
        <v>18</v>
      </c>
      <c r="F125" s="7">
        <v>12</v>
      </c>
      <c r="G125" s="7">
        <v>68</v>
      </c>
      <c r="H125" s="8" t="s">
        <v>19</v>
      </c>
      <c r="I125" s="6" t="s">
        <v>68</v>
      </c>
      <c r="J125" s="6" t="s">
        <v>72</v>
      </c>
      <c r="K125" s="6" t="s">
        <v>70</v>
      </c>
      <c r="L125" s="54" t="s">
        <v>23</v>
      </c>
      <c r="M125" s="55">
        <v>6.8000000000000007</v>
      </c>
      <c r="N125" s="54" t="s">
        <v>24</v>
      </c>
      <c r="O125" s="54">
        <v>1</v>
      </c>
    </row>
    <row r="126" spans="1:15" hidden="1" x14ac:dyDescent="0.25">
      <c r="A126" s="4">
        <v>10050</v>
      </c>
      <c r="B126" s="5" t="s">
        <v>65</v>
      </c>
      <c r="C126" s="5" t="s">
        <v>66</v>
      </c>
      <c r="D126" s="5" t="s">
        <v>67</v>
      </c>
      <c r="E126" s="5" t="s">
        <v>18</v>
      </c>
      <c r="F126" s="7">
        <v>12</v>
      </c>
      <c r="G126" s="7">
        <v>68</v>
      </c>
      <c r="H126" s="8" t="s">
        <v>19</v>
      </c>
      <c r="I126" s="6" t="s">
        <v>30</v>
      </c>
      <c r="J126" s="8" t="s">
        <v>73</v>
      </c>
      <c r="K126" s="6" t="s">
        <v>74</v>
      </c>
      <c r="L126" s="54" t="s">
        <v>23</v>
      </c>
      <c r="M126" s="55">
        <v>3</v>
      </c>
      <c r="N126" s="54" t="s">
        <v>24</v>
      </c>
      <c r="O126" s="54">
        <v>1</v>
      </c>
    </row>
    <row r="127" spans="1:15" hidden="1" x14ac:dyDescent="0.25">
      <c r="A127" s="4">
        <v>10051</v>
      </c>
      <c r="B127" s="5" t="s">
        <v>75</v>
      </c>
      <c r="C127" s="5" t="s">
        <v>66</v>
      </c>
      <c r="D127" s="5" t="s">
        <v>67</v>
      </c>
      <c r="E127" s="5" t="s">
        <v>18</v>
      </c>
      <c r="F127" s="7">
        <v>12</v>
      </c>
      <c r="G127" s="7">
        <v>68</v>
      </c>
      <c r="H127" s="8" t="s">
        <v>27</v>
      </c>
      <c r="I127" s="8" t="s">
        <v>20</v>
      </c>
      <c r="J127" s="8" t="s">
        <v>28</v>
      </c>
      <c r="K127" s="6" t="s">
        <v>29</v>
      </c>
      <c r="L127" s="54" t="s">
        <v>23</v>
      </c>
      <c r="M127" s="55">
        <v>180</v>
      </c>
      <c r="N127" s="54" t="s">
        <v>24</v>
      </c>
      <c r="O127" s="54">
        <v>1</v>
      </c>
    </row>
    <row r="128" spans="1:15" hidden="1" x14ac:dyDescent="0.25">
      <c r="A128" s="4">
        <v>10051</v>
      </c>
      <c r="B128" s="5" t="s">
        <v>75</v>
      </c>
      <c r="C128" s="5" t="s">
        <v>66</v>
      </c>
      <c r="D128" s="5" t="s">
        <v>67</v>
      </c>
      <c r="E128" s="5" t="s">
        <v>18</v>
      </c>
      <c r="F128" s="7">
        <v>12</v>
      </c>
      <c r="G128" s="7">
        <v>68</v>
      </c>
      <c r="H128" s="8" t="s">
        <v>19</v>
      </c>
      <c r="I128" s="6" t="s">
        <v>68</v>
      </c>
      <c r="J128" s="6" t="s">
        <v>69</v>
      </c>
      <c r="K128" s="6" t="s">
        <v>70</v>
      </c>
      <c r="L128" s="54" t="s">
        <v>23</v>
      </c>
      <c r="M128" s="55">
        <v>17</v>
      </c>
      <c r="N128" s="54" t="s">
        <v>24</v>
      </c>
      <c r="O128" s="54">
        <v>1</v>
      </c>
    </row>
    <row r="129" spans="1:15" hidden="1" x14ac:dyDescent="0.25">
      <c r="A129" s="4">
        <v>10051</v>
      </c>
      <c r="B129" s="5" t="s">
        <v>75</v>
      </c>
      <c r="C129" s="5" t="s">
        <v>66</v>
      </c>
      <c r="D129" s="5" t="s">
        <v>67</v>
      </c>
      <c r="E129" s="5" t="s">
        <v>18</v>
      </c>
      <c r="F129" s="7">
        <v>12</v>
      </c>
      <c r="G129" s="7">
        <v>68</v>
      </c>
      <c r="H129" s="8" t="s">
        <v>19</v>
      </c>
      <c r="I129" s="6" t="s">
        <v>68</v>
      </c>
      <c r="J129" s="6" t="s">
        <v>71</v>
      </c>
      <c r="K129" s="6" t="s">
        <v>70</v>
      </c>
      <c r="L129" s="54" t="s">
        <v>23</v>
      </c>
      <c r="M129" s="55">
        <v>10.199999999999999</v>
      </c>
      <c r="N129" s="54" t="s">
        <v>24</v>
      </c>
      <c r="O129" s="54">
        <v>1</v>
      </c>
    </row>
    <row r="130" spans="1:15" hidden="1" x14ac:dyDescent="0.25">
      <c r="A130" s="4">
        <v>10051</v>
      </c>
      <c r="B130" s="5" t="s">
        <v>75</v>
      </c>
      <c r="C130" s="5" t="s">
        <v>66</v>
      </c>
      <c r="D130" s="5" t="s">
        <v>67</v>
      </c>
      <c r="E130" s="5" t="s">
        <v>18</v>
      </c>
      <c r="F130" s="7">
        <v>12</v>
      </c>
      <c r="G130" s="7">
        <v>68</v>
      </c>
      <c r="H130" s="8" t="s">
        <v>19</v>
      </c>
      <c r="I130" s="6" t="s">
        <v>68</v>
      </c>
      <c r="J130" s="6" t="s">
        <v>72</v>
      </c>
      <c r="K130" s="6" t="s">
        <v>70</v>
      </c>
      <c r="L130" s="54" t="s">
        <v>23</v>
      </c>
      <c r="M130" s="55">
        <v>6.8000000000000007</v>
      </c>
      <c r="N130" s="54" t="s">
        <v>24</v>
      </c>
      <c r="O130" s="54">
        <v>1</v>
      </c>
    </row>
    <row r="131" spans="1:15" hidden="1" x14ac:dyDescent="0.25">
      <c r="A131" s="4">
        <v>10051</v>
      </c>
      <c r="B131" s="5" t="s">
        <v>75</v>
      </c>
      <c r="C131" s="5" t="s">
        <v>66</v>
      </c>
      <c r="D131" s="5" t="s">
        <v>67</v>
      </c>
      <c r="E131" s="5" t="s">
        <v>18</v>
      </c>
      <c r="F131" s="7">
        <v>12</v>
      </c>
      <c r="G131" s="7">
        <v>68</v>
      </c>
      <c r="H131" s="8" t="s">
        <v>19</v>
      </c>
      <c r="I131" s="6" t="s">
        <v>30</v>
      </c>
      <c r="J131" s="8" t="s">
        <v>73</v>
      </c>
      <c r="K131" s="6" t="s">
        <v>74</v>
      </c>
      <c r="L131" s="54" t="s">
        <v>23</v>
      </c>
      <c r="M131" s="55">
        <v>3</v>
      </c>
      <c r="N131" s="54" t="s">
        <v>24</v>
      </c>
      <c r="O131" s="54">
        <v>1</v>
      </c>
    </row>
    <row r="132" spans="1:15" hidden="1" x14ac:dyDescent="0.25">
      <c r="A132" s="4">
        <v>10052</v>
      </c>
      <c r="B132" s="5" t="s">
        <v>76</v>
      </c>
      <c r="C132" s="5" t="s">
        <v>66</v>
      </c>
      <c r="D132" s="5" t="s">
        <v>67</v>
      </c>
      <c r="E132" s="5" t="s">
        <v>18</v>
      </c>
      <c r="F132" s="7">
        <v>12</v>
      </c>
      <c r="G132" s="7">
        <v>68</v>
      </c>
      <c r="H132" s="8" t="s">
        <v>27</v>
      </c>
      <c r="I132" s="8" t="s">
        <v>20</v>
      </c>
      <c r="J132" s="8" t="s">
        <v>28</v>
      </c>
      <c r="K132" s="6" t="s">
        <v>29</v>
      </c>
      <c r="L132" s="54" t="s">
        <v>23</v>
      </c>
      <c r="M132" s="55">
        <v>180</v>
      </c>
      <c r="N132" s="54" t="s">
        <v>24</v>
      </c>
      <c r="O132" s="54">
        <v>1</v>
      </c>
    </row>
    <row r="133" spans="1:15" hidden="1" x14ac:dyDescent="0.25">
      <c r="A133" s="4">
        <v>10052</v>
      </c>
      <c r="B133" s="5" t="s">
        <v>76</v>
      </c>
      <c r="C133" s="5" t="s">
        <v>66</v>
      </c>
      <c r="D133" s="5" t="s">
        <v>67</v>
      </c>
      <c r="E133" s="5" t="s">
        <v>18</v>
      </c>
      <c r="F133" s="7">
        <v>12</v>
      </c>
      <c r="G133" s="7">
        <v>68</v>
      </c>
      <c r="H133" s="8" t="s">
        <v>19</v>
      </c>
      <c r="I133" s="6" t="s">
        <v>68</v>
      </c>
      <c r="J133" s="6" t="s">
        <v>69</v>
      </c>
      <c r="K133" s="6" t="s">
        <v>70</v>
      </c>
      <c r="L133" s="54" t="s">
        <v>23</v>
      </c>
      <c r="M133" s="55">
        <v>17</v>
      </c>
      <c r="N133" s="54" t="s">
        <v>24</v>
      </c>
      <c r="O133" s="54">
        <v>1</v>
      </c>
    </row>
    <row r="134" spans="1:15" hidden="1" x14ac:dyDescent="0.25">
      <c r="A134" s="4">
        <v>10052</v>
      </c>
      <c r="B134" s="5" t="s">
        <v>76</v>
      </c>
      <c r="C134" s="5" t="s">
        <v>66</v>
      </c>
      <c r="D134" s="5" t="s">
        <v>67</v>
      </c>
      <c r="E134" s="5" t="s">
        <v>18</v>
      </c>
      <c r="F134" s="7">
        <v>12</v>
      </c>
      <c r="G134" s="7">
        <v>68</v>
      </c>
      <c r="H134" s="8" t="s">
        <v>19</v>
      </c>
      <c r="I134" s="6" t="s">
        <v>68</v>
      </c>
      <c r="J134" s="6" t="s">
        <v>71</v>
      </c>
      <c r="K134" s="6" t="s">
        <v>70</v>
      </c>
      <c r="L134" s="54" t="s">
        <v>23</v>
      </c>
      <c r="M134" s="55">
        <v>10.199999999999999</v>
      </c>
      <c r="N134" s="54" t="s">
        <v>24</v>
      </c>
      <c r="O134" s="54">
        <v>1</v>
      </c>
    </row>
    <row r="135" spans="1:15" hidden="1" x14ac:dyDescent="0.25">
      <c r="A135" s="4">
        <v>10052</v>
      </c>
      <c r="B135" s="5" t="s">
        <v>76</v>
      </c>
      <c r="C135" s="5" t="s">
        <v>66</v>
      </c>
      <c r="D135" s="5" t="s">
        <v>67</v>
      </c>
      <c r="E135" s="5" t="s">
        <v>18</v>
      </c>
      <c r="F135" s="7">
        <v>12</v>
      </c>
      <c r="G135" s="7">
        <v>68</v>
      </c>
      <c r="H135" s="8" t="s">
        <v>19</v>
      </c>
      <c r="I135" s="6" t="s">
        <v>68</v>
      </c>
      <c r="J135" s="6" t="s">
        <v>72</v>
      </c>
      <c r="K135" s="6" t="s">
        <v>70</v>
      </c>
      <c r="L135" s="54" t="s">
        <v>23</v>
      </c>
      <c r="M135" s="55">
        <v>6.8000000000000007</v>
      </c>
      <c r="N135" s="54" t="s">
        <v>24</v>
      </c>
      <c r="O135" s="54">
        <v>1</v>
      </c>
    </row>
    <row r="136" spans="1:15" hidden="1" x14ac:dyDescent="0.25">
      <c r="A136" s="4">
        <v>10052</v>
      </c>
      <c r="B136" s="5" t="s">
        <v>76</v>
      </c>
      <c r="C136" s="5" t="s">
        <v>66</v>
      </c>
      <c r="D136" s="5" t="s">
        <v>67</v>
      </c>
      <c r="E136" s="5" t="s">
        <v>18</v>
      </c>
      <c r="F136" s="7">
        <v>12</v>
      </c>
      <c r="G136" s="7">
        <v>68</v>
      </c>
      <c r="H136" s="8" t="s">
        <v>19</v>
      </c>
      <c r="I136" s="6" t="s">
        <v>30</v>
      </c>
      <c r="J136" s="8" t="s">
        <v>73</v>
      </c>
      <c r="K136" s="6" t="s">
        <v>74</v>
      </c>
      <c r="L136" s="54" t="s">
        <v>23</v>
      </c>
      <c r="M136" s="55">
        <v>3</v>
      </c>
      <c r="N136" s="54" t="s">
        <v>24</v>
      </c>
      <c r="O136" s="54">
        <v>1</v>
      </c>
    </row>
    <row r="137" spans="1:15" hidden="1" x14ac:dyDescent="0.25">
      <c r="A137" s="5">
        <v>10096</v>
      </c>
      <c r="B137" s="5" t="s">
        <v>100</v>
      </c>
      <c r="C137" s="5" t="s">
        <v>96</v>
      </c>
      <c r="D137" s="5" t="s">
        <v>37</v>
      </c>
      <c r="E137" s="6" t="s">
        <v>18</v>
      </c>
      <c r="F137" s="10">
        <v>1</v>
      </c>
      <c r="G137" s="10">
        <v>1</v>
      </c>
      <c r="H137" s="8" t="s">
        <v>19</v>
      </c>
      <c r="I137" s="8" t="s">
        <v>20</v>
      </c>
      <c r="J137" s="8" t="s">
        <v>21</v>
      </c>
      <c r="K137" s="6" t="s">
        <v>43</v>
      </c>
      <c r="L137" s="54" t="s">
        <v>23</v>
      </c>
      <c r="M137" s="54">
        <v>152.26</v>
      </c>
      <c r="N137" s="54" t="s">
        <v>24</v>
      </c>
      <c r="O137" s="54">
        <v>1</v>
      </c>
    </row>
    <row r="138" spans="1:15" hidden="1" x14ac:dyDescent="0.25">
      <c r="A138" s="5">
        <v>10105</v>
      </c>
      <c r="B138" s="5" t="s">
        <v>135</v>
      </c>
      <c r="C138" s="5" t="s">
        <v>136</v>
      </c>
      <c r="D138" s="5" t="s">
        <v>137</v>
      </c>
      <c r="E138" s="6" t="s">
        <v>18</v>
      </c>
      <c r="F138" s="10">
        <v>1</v>
      </c>
      <c r="G138" s="10">
        <v>1</v>
      </c>
      <c r="H138" s="8" t="s">
        <v>19</v>
      </c>
      <c r="I138" s="6" t="s">
        <v>30</v>
      </c>
      <c r="J138" s="6" t="s">
        <v>138</v>
      </c>
      <c r="K138" s="6"/>
      <c r="L138" s="54" t="s">
        <v>23</v>
      </c>
      <c r="M138" s="54">
        <v>363</v>
      </c>
      <c r="N138" s="54" t="s">
        <v>24</v>
      </c>
      <c r="O138" s="54">
        <v>1</v>
      </c>
    </row>
    <row r="139" spans="1:15" hidden="1" x14ac:dyDescent="0.25">
      <c r="A139" s="5">
        <v>10105</v>
      </c>
      <c r="B139" s="5" t="s">
        <v>135</v>
      </c>
      <c r="C139" s="5" t="s">
        <v>136</v>
      </c>
      <c r="D139" s="5" t="s">
        <v>137</v>
      </c>
      <c r="E139" s="6" t="s">
        <v>18</v>
      </c>
      <c r="F139" s="10">
        <v>1</v>
      </c>
      <c r="G139" s="10">
        <v>1</v>
      </c>
      <c r="H139" s="8" t="s">
        <v>19</v>
      </c>
      <c r="I139" s="8" t="s">
        <v>20</v>
      </c>
      <c r="J139" s="8" t="s">
        <v>28</v>
      </c>
      <c r="K139" s="6" t="s">
        <v>29</v>
      </c>
      <c r="L139" s="54" t="s">
        <v>23</v>
      </c>
      <c r="M139" s="54">
        <v>321</v>
      </c>
      <c r="N139" s="54" t="s">
        <v>24</v>
      </c>
      <c r="O139" s="54">
        <v>1</v>
      </c>
    </row>
    <row r="140" spans="1:15" hidden="1" x14ac:dyDescent="0.25">
      <c r="A140" s="5">
        <v>10118</v>
      </c>
      <c r="B140" s="5" t="s">
        <v>119</v>
      </c>
      <c r="C140" s="5" t="s">
        <v>117</v>
      </c>
      <c r="D140" s="5" t="s">
        <v>118</v>
      </c>
      <c r="E140" s="6" t="s">
        <v>18</v>
      </c>
      <c r="F140" s="10">
        <v>12</v>
      </c>
      <c r="G140" s="10">
        <v>48</v>
      </c>
      <c r="H140" s="6" t="s">
        <v>27</v>
      </c>
      <c r="I140" s="6" t="s">
        <v>20</v>
      </c>
      <c r="J140" s="6" t="s">
        <v>28</v>
      </c>
      <c r="K140" s="6" t="s">
        <v>29</v>
      </c>
      <c r="L140" s="54" t="s">
        <v>23</v>
      </c>
      <c r="M140" s="55">
        <v>250</v>
      </c>
      <c r="N140" s="54" t="s">
        <v>24</v>
      </c>
      <c r="O140" s="54">
        <v>1</v>
      </c>
    </row>
    <row r="141" spans="1:15" hidden="1" x14ac:dyDescent="0.25">
      <c r="A141" s="5">
        <v>10118</v>
      </c>
      <c r="B141" s="5" t="s">
        <v>119</v>
      </c>
      <c r="C141" s="5" t="s">
        <v>117</v>
      </c>
      <c r="D141" s="5" t="s">
        <v>118</v>
      </c>
      <c r="E141" s="6" t="s">
        <v>18</v>
      </c>
      <c r="F141" s="10">
        <v>12</v>
      </c>
      <c r="G141" s="10">
        <v>48</v>
      </c>
      <c r="H141" s="6" t="s">
        <v>19</v>
      </c>
      <c r="I141" s="6" t="s">
        <v>20</v>
      </c>
      <c r="J141" s="6" t="s">
        <v>28</v>
      </c>
      <c r="K141" s="6" t="s">
        <v>61</v>
      </c>
      <c r="L141" s="54" t="s">
        <v>23</v>
      </c>
      <c r="M141" s="55">
        <v>37</v>
      </c>
      <c r="N141" s="54" t="s">
        <v>24</v>
      </c>
      <c r="O141" s="54">
        <v>1</v>
      </c>
    </row>
    <row r="142" spans="1:15" hidden="1" x14ac:dyDescent="0.25">
      <c r="A142" s="5">
        <v>10118</v>
      </c>
      <c r="B142" s="5" t="s">
        <v>119</v>
      </c>
      <c r="C142" s="5" t="s">
        <v>117</v>
      </c>
      <c r="D142" s="5" t="s">
        <v>118</v>
      </c>
      <c r="E142" s="6" t="s">
        <v>18</v>
      </c>
      <c r="F142" s="10">
        <v>12</v>
      </c>
      <c r="G142" s="10">
        <v>48</v>
      </c>
      <c r="H142" s="6" t="s">
        <v>19</v>
      </c>
      <c r="I142" s="6" t="s">
        <v>20</v>
      </c>
      <c r="J142" s="6" t="s">
        <v>28</v>
      </c>
      <c r="K142" s="6" t="s">
        <v>29</v>
      </c>
      <c r="L142" s="54" t="s">
        <v>23</v>
      </c>
      <c r="M142" s="55">
        <v>25</v>
      </c>
      <c r="N142" s="54" t="s">
        <v>24</v>
      </c>
      <c r="O142" s="54">
        <v>1</v>
      </c>
    </row>
    <row r="143" spans="1:15" hidden="1" x14ac:dyDescent="0.25">
      <c r="A143" s="5">
        <v>10148</v>
      </c>
      <c r="B143" s="5" t="s">
        <v>165</v>
      </c>
      <c r="C143" s="5" t="s">
        <v>166</v>
      </c>
      <c r="D143" s="5" t="s">
        <v>37</v>
      </c>
      <c r="E143" s="6" t="s">
        <v>18</v>
      </c>
      <c r="F143" s="10">
        <v>6</v>
      </c>
      <c r="G143" s="10">
        <v>1</v>
      </c>
      <c r="H143" s="6" t="s">
        <v>27</v>
      </c>
      <c r="I143" s="6" t="s">
        <v>20</v>
      </c>
      <c r="J143" s="6" t="s">
        <v>28</v>
      </c>
      <c r="K143" s="6" t="s">
        <v>29</v>
      </c>
      <c r="L143" s="54" t="s">
        <v>23</v>
      </c>
      <c r="M143" s="54">
        <v>347</v>
      </c>
      <c r="N143" s="54" t="s">
        <v>24</v>
      </c>
      <c r="O143" s="54">
        <v>1</v>
      </c>
    </row>
    <row r="144" spans="1:15" hidden="1" x14ac:dyDescent="0.25">
      <c r="A144" s="5">
        <v>10148</v>
      </c>
      <c r="B144" s="5" t="s">
        <v>165</v>
      </c>
      <c r="C144" s="5" t="s">
        <v>166</v>
      </c>
      <c r="D144" s="5" t="s">
        <v>37</v>
      </c>
      <c r="E144" s="6" t="s">
        <v>18</v>
      </c>
      <c r="F144" s="10">
        <v>6</v>
      </c>
      <c r="G144" s="10">
        <v>1</v>
      </c>
      <c r="H144" s="6" t="s">
        <v>19</v>
      </c>
      <c r="I144" s="6" t="s">
        <v>25</v>
      </c>
      <c r="J144" s="6" t="s">
        <v>25</v>
      </c>
      <c r="K144" s="6" t="s">
        <v>26</v>
      </c>
      <c r="L144" s="54" t="s">
        <v>23</v>
      </c>
      <c r="M144" s="54">
        <v>242</v>
      </c>
      <c r="N144" s="54" t="s">
        <v>24</v>
      </c>
      <c r="O144" s="54">
        <v>1</v>
      </c>
    </row>
    <row r="145" spans="1:15" hidden="1" x14ac:dyDescent="0.25">
      <c r="A145" s="5">
        <v>10148</v>
      </c>
      <c r="B145" s="5" t="s">
        <v>165</v>
      </c>
      <c r="C145" s="5" t="s">
        <v>166</v>
      </c>
      <c r="D145" s="5" t="s">
        <v>37</v>
      </c>
      <c r="E145" s="6" t="s">
        <v>18</v>
      </c>
      <c r="F145" s="10">
        <v>6</v>
      </c>
      <c r="G145" s="10">
        <v>1</v>
      </c>
      <c r="H145" s="6" t="s">
        <v>19</v>
      </c>
      <c r="I145" s="6" t="s">
        <v>20</v>
      </c>
      <c r="J145" s="6" t="s">
        <v>21</v>
      </c>
      <c r="K145" s="6" t="s">
        <v>22</v>
      </c>
      <c r="L145" s="54" t="s">
        <v>23</v>
      </c>
      <c r="M145" s="54">
        <v>6.4</v>
      </c>
      <c r="N145" s="54" t="s">
        <v>24</v>
      </c>
      <c r="O145" s="54">
        <v>1</v>
      </c>
    </row>
    <row r="146" spans="1:15" hidden="1" x14ac:dyDescent="0.25">
      <c r="A146" s="4">
        <v>10165</v>
      </c>
      <c r="B146" s="5" t="s">
        <v>62</v>
      </c>
      <c r="C146" s="5" t="s">
        <v>57</v>
      </c>
      <c r="D146" s="5" t="s">
        <v>63</v>
      </c>
      <c r="E146" s="6" t="s">
        <v>18</v>
      </c>
      <c r="F146" s="9">
        <v>10</v>
      </c>
      <c r="G146" s="9">
        <v>180</v>
      </c>
      <c r="H146" s="6" t="s">
        <v>27</v>
      </c>
      <c r="I146" s="6" t="s">
        <v>30</v>
      </c>
      <c r="J146" s="6" t="s">
        <v>31</v>
      </c>
      <c r="K146" s="6" t="s">
        <v>32</v>
      </c>
      <c r="L146" s="54" t="s">
        <v>23</v>
      </c>
      <c r="M146" s="55">
        <v>56.5</v>
      </c>
      <c r="N146" s="54" t="s">
        <v>24</v>
      </c>
      <c r="O146" s="54">
        <v>1</v>
      </c>
    </row>
    <row r="147" spans="1:15" hidden="1" x14ac:dyDescent="0.25">
      <c r="A147" s="4">
        <v>10165</v>
      </c>
      <c r="B147" s="5" t="s">
        <v>62</v>
      </c>
      <c r="C147" s="5" t="s">
        <v>57</v>
      </c>
      <c r="D147" s="5" t="s">
        <v>63</v>
      </c>
      <c r="E147" s="6" t="s">
        <v>18</v>
      </c>
      <c r="F147" s="9">
        <v>10</v>
      </c>
      <c r="G147" s="9">
        <v>180</v>
      </c>
      <c r="H147" s="6" t="s">
        <v>19</v>
      </c>
      <c r="I147" s="6" t="s">
        <v>30</v>
      </c>
      <c r="J147" s="6" t="s">
        <v>31</v>
      </c>
      <c r="K147" s="6" t="s">
        <v>32</v>
      </c>
      <c r="L147" s="54" t="s">
        <v>23</v>
      </c>
      <c r="M147" s="55">
        <v>14.68</v>
      </c>
      <c r="N147" s="54" t="s">
        <v>24</v>
      </c>
      <c r="O147" s="54">
        <v>1</v>
      </c>
    </row>
    <row r="148" spans="1:15" hidden="1" x14ac:dyDescent="0.25">
      <c r="A148" s="4">
        <v>10175</v>
      </c>
      <c r="B148" s="5" t="s">
        <v>81</v>
      </c>
      <c r="C148" s="6" t="s">
        <v>82</v>
      </c>
      <c r="D148" s="5" t="s">
        <v>83</v>
      </c>
      <c r="E148" s="6" t="s">
        <v>18</v>
      </c>
      <c r="F148" s="9">
        <v>4</v>
      </c>
      <c r="G148" s="9">
        <v>40</v>
      </c>
      <c r="H148" s="6" t="s">
        <v>27</v>
      </c>
      <c r="I148" s="6" t="s">
        <v>30</v>
      </c>
      <c r="J148" s="6" t="s">
        <v>31</v>
      </c>
      <c r="K148" s="6" t="s">
        <v>32</v>
      </c>
      <c r="L148" s="54" t="s">
        <v>23</v>
      </c>
      <c r="M148" s="55">
        <v>60</v>
      </c>
      <c r="N148" s="54" t="s">
        <v>24</v>
      </c>
      <c r="O148" s="54">
        <v>1</v>
      </c>
    </row>
    <row r="149" spans="1:15" hidden="1" x14ac:dyDescent="0.25">
      <c r="A149" s="4">
        <v>10175</v>
      </c>
      <c r="B149" s="5" t="s">
        <v>81</v>
      </c>
      <c r="C149" s="6" t="s">
        <v>82</v>
      </c>
      <c r="D149" s="5" t="s">
        <v>83</v>
      </c>
      <c r="E149" s="6" t="s">
        <v>18</v>
      </c>
      <c r="F149" s="9">
        <v>4</v>
      </c>
      <c r="G149" s="9">
        <v>40</v>
      </c>
      <c r="H149" s="6" t="s">
        <v>19</v>
      </c>
      <c r="I149" s="6" t="s">
        <v>30</v>
      </c>
      <c r="J149" s="6" t="s">
        <v>73</v>
      </c>
      <c r="K149" s="6" t="s">
        <v>43</v>
      </c>
      <c r="L149" s="54" t="s">
        <v>23</v>
      </c>
      <c r="M149" s="55">
        <v>38</v>
      </c>
      <c r="N149" s="54" t="s">
        <v>24</v>
      </c>
      <c r="O149" s="54">
        <v>1</v>
      </c>
    </row>
    <row r="150" spans="1:15" hidden="1" x14ac:dyDescent="0.25">
      <c r="A150" s="4">
        <v>10176</v>
      </c>
      <c r="B150" s="5" t="s">
        <v>84</v>
      </c>
      <c r="C150" s="6" t="s">
        <v>82</v>
      </c>
      <c r="D150" s="5" t="s">
        <v>83</v>
      </c>
      <c r="E150" s="6" t="s">
        <v>18</v>
      </c>
      <c r="F150" s="9">
        <v>4</v>
      </c>
      <c r="G150" s="9">
        <v>40</v>
      </c>
      <c r="H150" s="6" t="s">
        <v>27</v>
      </c>
      <c r="I150" s="6" t="s">
        <v>30</v>
      </c>
      <c r="J150" s="6" t="s">
        <v>31</v>
      </c>
      <c r="K150" s="6" t="s">
        <v>32</v>
      </c>
      <c r="L150" s="54" t="s">
        <v>23</v>
      </c>
      <c r="M150" s="55">
        <v>60</v>
      </c>
      <c r="N150" s="54" t="s">
        <v>24</v>
      </c>
      <c r="O150" s="54">
        <v>1</v>
      </c>
    </row>
    <row r="151" spans="1:15" hidden="1" x14ac:dyDescent="0.25">
      <c r="A151" s="4">
        <v>10176</v>
      </c>
      <c r="B151" s="5" t="s">
        <v>84</v>
      </c>
      <c r="C151" s="6" t="s">
        <v>82</v>
      </c>
      <c r="D151" s="5" t="s">
        <v>83</v>
      </c>
      <c r="E151" s="6" t="s">
        <v>18</v>
      </c>
      <c r="F151" s="9">
        <v>4</v>
      </c>
      <c r="G151" s="9">
        <v>40</v>
      </c>
      <c r="H151" s="6" t="s">
        <v>19</v>
      </c>
      <c r="I151" s="6" t="s">
        <v>30</v>
      </c>
      <c r="J151" s="6" t="s">
        <v>73</v>
      </c>
      <c r="K151" s="6" t="s">
        <v>43</v>
      </c>
      <c r="L151" s="54" t="s">
        <v>23</v>
      </c>
      <c r="M151" s="55">
        <v>38</v>
      </c>
      <c r="N151" s="54" t="s">
        <v>24</v>
      </c>
      <c r="O151" s="54">
        <v>1</v>
      </c>
    </row>
    <row r="152" spans="1:15" hidden="1" x14ac:dyDescent="0.25">
      <c r="A152" s="5">
        <v>10177</v>
      </c>
      <c r="B152" s="5" t="s">
        <v>134</v>
      </c>
      <c r="C152" s="5" t="s">
        <v>117</v>
      </c>
      <c r="D152" s="5" t="s">
        <v>124</v>
      </c>
      <c r="E152" s="6" t="s">
        <v>18</v>
      </c>
      <c r="F152" s="10">
        <v>8</v>
      </c>
      <c r="G152" s="10">
        <v>1</v>
      </c>
      <c r="H152" s="8" t="s">
        <v>27</v>
      </c>
      <c r="I152" s="8" t="s">
        <v>20</v>
      </c>
      <c r="J152" s="8" t="s">
        <v>28</v>
      </c>
      <c r="K152" s="6" t="s">
        <v>29</v>
      </c>
      <c r="L152" s="54" t="s">
        <v>23</v>
      </c>
      <c r="M152" s="54">
        <v>330</v>
      </c>
      <c r="N152" s="54" t="s">
        <v>24</v>
      </c>
      <c r="O152" s="54">
        <v>1</v>
      </c>
    </row>
    <row r="153" spans="1:15" hidden="1" x14ac:dyDescent="0.25">
      <c r="A153" s="5">
        <v>10177</v>
      </c>
      <c r="B153" s="5" t="s">
        <v>134</v>
      </c>
      <c r="C153" s="5" t="s">
        <v>117</v>
      </c>
      <c r="D153" s="5" t="s">
        <v>124</v>
      </c>
      <c r="E153" s="6" t="s">
        <v>18</v>
      </c>
      <c r="F153" s="10">
        <v>8</v>
      </c>
      <c r="G153" s="10">
        <v>1</v>
      </c>
      <c r="H153" s="8" t="s">
        <v>19</v>
      </c>
      <c r="I153" s="8" t="s">
        <v>20</v>
      </c>
      <c r="J153" s="8" t="s">
        <v>28</v>
      </c>
      <c r="K153" s="6" t="s">
        <v>29</v>
      </c>
      <c r="L153" s="54" t="s">
        <v>23</v>
      </c>
      <c r="M153" s="54">
        <v>2.1</v>
      </c>
      <c r="N153" s="54" t="s">
        <v>24</v>
      </c>
      <c r="O153" s="54">
        <v>1</v>
      </c>
    </row>
    <row r="154" spans="1:15" x14ac:dyDescent="0.25">
      <c r="A154" s="4">
        <v>10231</v>
      </c>
      <c r="B154" s="5" t="s">
        <v>36</v>
      </c>
      <c r="C154" s="5" t="s">
        <v>16</v>
      </c>
      <c r="D154" s="5" t="s">
        <v>37</v>
      </c>
      <c r="E154" s="6" t="s">
        <v>18</v>
      </c>
      <c r="F154" s="9">
        <v>24</v>
      </c>
      <c r="G154" s="9">
        <v>99</v>
      </c>
      <c r="H154" s="6" t="s">
        <v>38</v>
      </c>
      <c r="I154" s="6" t="s">
        <v>30</v>
      </c>
      <c r="J154" s="6" t="s">
        <v>31</v>
      </c>
      <c r="K154" s="6" t="s">
        <v>32</v>
      </c>
      <c r="L154" s="54" t="s">
        <v>23</v>
      </c>
      <c r="M154" s="55">
        <v>200</v>
      </c>
      <c r="N154" s="54" t="s">
        <v>24</v>
      </c>
      <c r="O154" s="54">
        <v>1</v>
      </c>
    </row>
    <row r="155" spans="1:15" x14ac:dyDescent="0.25">
      <c r="A155" s="4">
        <v>10231</v>
      </c>
      <c r="B155" s="5" t="s">
        <v>36</v>
      </c>
      <c r="C155" s="5" t="s">
        <v>16</v>
      </c>
      <c r="D155" s="5" t="s">
        <v>37</v>
      </c>
      <c r="E155" s="6" t="s">
        <v>18</v>
      </c>
      <c r="F155" s="9">
        <v>24</v>
      </c>
      <c r="G155" s="9">
        <v>99</v>
      </c>
      <c r="H155" s="6" t="s">
        <v>27</v>
      </c>
      <c r="I155" s="6" t="s">
        <v>20</v>
      </c>
      <c r="J155" s="6" t="s">
        <v>28</v>
      </c>
      <c r="K155" s="6" t="s">
        <v>29</v>
      </c>
      <c r="L155" s="54" t="s">
        <v>23</v>
      </c>
      <c r="M155" s="55">
        <v>66.8</v>
      </c>
      <c r="N155" s="54" t="s">
        <v>24</v>
      </c>
      <c r="O155" s="54">
        <v>1</v>
      </c>
    </row>
    <row r="156" spans="1:15" x14ac:dyDescent="0.25">
      <c r="A156" s="4">
        <v>10231</v>
      </c>
      <c r="B156" s="5" t="s">
        <v>36</v>
      </c>
      <c r="C156" s="5" t="s">
        <v>16</v>
      </c>
      <c r="D156" s="5" t="s">
        <v>37</v>
      </c>
      <c r="E156" s="6" t="s">
        <v>18</v>
      </c>
      <c r="F156" s="9">
        <v>24</v>
      </c>
      <c r="G156" s="9">
        <v>99</v>
      </c>
      <c r="H156" s="6" t="s">
        <v>19</v>
      </c>
      <c r="I156" s="6" t="s">
        <v>25</v>
      </c>
      <c r="J156" s="6" t="s">
        <v>25</v>
      </c>
      <c r="K156" s="6" t="s">
        <v>26</v>
      </c>
      <c r="L156" s="54" t="s">
        <v>23</v>
      </c>
      <c r="M156" s="55">
        <v>51.8</v>
      </c>
      <c r="N156" s="54" t="s">
        <v>24</v>
      </c>
      <c r="O156" s="54">
        <v>1</v>
      </c>
    </row>
    <row r="157" spans="1:15" x14ac:dyDescent="0.25">
      <c r="A157" s="4">
        <v>10231</v>
      </c>
      <c r="B157" s="5" t="s">
        <v>36</v>
      </c>
      <c r="C157" s="5" t="s">
        <v>16</v>
      </c>
      <c r="D157" s="5" t="s">
        <v>37</v>
      </c>
      <c r="E157" s="6" t="s">
        <v>18</v>
      </c>
      <c r="F157" s="9">
        <v>24</v>
      </c>
      <c r="G157" s="9">
        <v>99</v>
      </c>
      <c r="H157" s="6" t="s">
        <v>27</v>
      </c>
      <c r="I157" s="6" t="s">
        <v>30</v>
      </c>
      <c r="J157" s="6" t="s">
        <v>31</v>
      </c>
      <c r="K157" s="6" t="s">
        <v>32</v>
      </c>
      <c r="L157" s="54" t="s">
        <v>23</v>
      </c>
      <c r="M157" s="55">
        <v>27</v>
      </c>
      <c r="N157" s="54" t="s">
        <v>24</v>
      </c>
      <c r="O157" s="54">
        <v>1</v>
      </c>
    </row>
    <row r="158" spans="1:15" x14ac:dyDescent="0.25">
      <c r="A158" s="4">
        <v>10231</v>
      </c>
      <c r="B158" s="5" t="s">
        <v>36</v>
      </c>
      <c r="C158" s="5" t="s">
        <v>16</v>
      </c>
      <c r="D158" s="5" t="s">
        <v>37</v>
      </c>
      <c r="E158" s="6" t="s">
        <v>18</v>
      </c>
      <c r="F158" s="9">
        <v>24</v>
      </c>
      <c r="G158" s="9">
        <v>99</v>
      </c>
      <c r="H158" s="6" t="s">
        <v>19</v>
      </c>
      <c r="I158" s="8" t="s">
        <v>20</v>
      </c>
      <c r="J158" s="8" t="s">
        <v>21</v>
      </c>
      <c r="K158" s="6" t="s">
        <v>22</v>
      </c>
      <c r="L158" s="54" t="s">
        <v>23</v>
      </c>
      <c r="M158" s="55">
        <v>2</v>
      </c>
      <c r="N158" s="54" t="s">
        <v>24</v>
      </c>
      <c r="O158" s="54">
        <v>1</v>
      </c>
    </row>
    <row r="159" spans="1:15" hidden="1" x14ac:dyDescent="0.25">
      <c r="A159" s="4">
        <v>10232</v>
      </c>
      <c r="B159" s="5" t="s">
        <v>39</v>
      </c>
      <c r="C159" s="5" t="s">
        <v>16</v>
      </c>
      <c r="D159" s="5" t="s">
        <v>37</v>
      </c>
      <c r="E159" s="6" t="s">
        <v>18</v>
      </c>
      <c r="F159" s="9">
        <v>24</v>
      </c>
      <c r="G159" s="9">
        <v>99</v>
      </c>
      <c r="H159" s="6" t="s">
        <v>38</v>
      </c>
      <c r="I159" s="6" t="s">
        <v>30</v>
      </c>
      <c r="J159" s="6" t="s">
        <v>31</v>
      </c>
      <c r="K159" s="6" t="s">
        <v>32</v>
      </c>
      <c r="L159" s="54" t="s">
        <v>23</v>
      </c>
      <c r="M159" s="55">
        <v>200</v>
      </c>
      <c r="N159" s="54" t="s">
        <v>24</v>
      </c>
      <c r="O159" s="54">
        <v>1</v>
      </c>
    </row>
    <row r="160" spans="1:15" hidden="1" x14ac:dyDescent="0.25">
      <c r="A160" s="4">
        <v>10232</v>
      </c>
      <c r="B160" s="5" t="s">
        <v>39</v>
      </c>
      <c r="C160" s="5" t="s">
        <v>16</v>
      </c>
      <c r="D160" s="5" t="s">
        <v>37</v>
      </c>
      <c r="E160" s="6" t="s">
        <v>18</v>
      </c>
      <c r="F160" s="9">
        <v>24</v>
      </c>
      <c r="G160" s="9">
        <v>99</v>
      </c>
      <c r="H160" s="6" t="s">
        <v>27</v>
      </c>
      <c r="I160" s="6" t="s">
        <v>20</v>
      </c>
      <c r="J160" s="6" t="s">
        <v>28</v>
      </c>
      <c r="K160" s="6" t="s">
        <v>29</v>
      </c>
      <c r="L160" s="54" t="s">
        <v>23</v>
      </c>
      <c r="M160" s="55">
        <v>66.8</v>
      </c>
      <c r="N160" s="54" t="s">
        <v>24</v>
      </c>
      <c r="O160" s="54">
        <v>1</v>
      </c>
    </row>
    <row r="161" spans="1:15" hidden="1" x14ac:dyDescent="0.25">
      <c r="A161" s="4">
        <v>10232</v>
      </c>
      <c r="B161" s="5" t="s">
        <v>39</v>
      </c>
      <c r="C161" s="5" t="s">
        <v>16</v>
      </c>
      <c r="D161" s="5" t="s">
        <v>37</v>
      </c>
      <c r="E161" s="6" t="s">
        <v>18</v>
      </c>
      <c r="F161" s="9">
        <v>24</v>
      </c>
      <c r="G161" s="9">
        <v>99</v>
      </c>
      <c r="H161" s="6" t="s">
        <v>19</v>
      </c>
      <c r="I161" s="6" t="s">
        <v>25</v>
      </c>
      <c r="J161" s="6" t="s">
        <v>25</v>
      </c>
      <c r="K161" s="6" t="s">
        <v>26</v>
      </c>
      <c r="L161" s="54" t="s">
        <v>23</v>
      </c>
      <c r="M161" s="55">
        <v>50</v>
      </c>
      <c r="N161" s="54" t="s">
        <v>24</v>
      </c>
      <c r="O161" s="54">
        <v>1</v>
      </c>
    </row>
    <row r="162" spans="1:15" hidden="1" x14ac:dyDescent="0.25">
      <c r="A162" s="4">
        <v>10232</v>
      </c>
      <c r="B162" s="5" t="s">
        <v>39</v>
      </c>
      <c r="C162" s="5" t="s">
        <v>16</v>
      </c>
      <c r="D162" s="5" t="s">
        <v>37</v>
      </c>
      <c r="E162" s="6" t="s">
        <v>18</v>
      </c>
      <c r="F162" s="9">
        <v>24</v>
      </c>
      <c r="G162" s="9">
        <v>99</v>
      </c>
      <c r="H162" s="6" t="s">
        <v>27</v>
      </c>
      <c r="I162" s="6" t="s">
        <v>30</v>
      </c>
      <c r="J162" s="6" t="s">
        <v>31</v>
      </c>
      <c r="K162" s="6" t="s">
        <v>32</v>
      </c>
      <c r="L162" s="54" t="s">
        <v>23</v>
      </c>
      <c r="M162" s="55">
        <v>34</v>
      </c>
      <c r="N162" s="54" t="s">
        <v>24</v>
      </c>
      <c r="O162" s="54">
        <v>1</v>
      </c>
    </row>
    <row r="163" spans="1:15" hidden="1" x14ac:dyDescent="0.25">
      <c r="A163" s="4">
        <v>10232</v>
      </c>
      <c r="B163" s="5" t="s">
        <v>39</v>
      </c>
      <c r="C163" s="5" t="s">
        <v>16</v>
      </c>
      <c r="D163" s="5" t="s">
        <v>37</v>
      </c>
      <c r="E163" s="6" t="s">
        <v>18</v>
      </c>
      <c r="F163" s="9">
        <v>24</v>
      </c>
      <c r="G163" s="9">
        <v>99</v>
      </c>
      <c r="H163" s="6" t="s">
        <v>19</v>
      </c>
      <c r="I163" s="8" t="s">
        <v>20</v>
      </c>
      <c r="J163" s="8" t="s">
        <v>21</v>
      </c>
      <c r="K163" s="6" t="s">
        <v>22</v>
      </c>
      <c r="L163" s="54" t="s">
        <v>23</v>
      </c>
      <c r="M163" s="55">
        <v>2</v>
      </c>
      <c r="N163" s="54" t="s">
        <v>24</v>
      </c>
      <c r="O163" s="54">
        <v>1</v>
      </c>
    </row>
    <row r="164" spans="1:15" hidden="1" x14ac:dyDescent="0.25">
      <c r="A164" s="5">
        <v>10376</v>
      </c>
      <c r="B164" s="5" t="s">
        <v>145</v>
      </c>
      <c r="C164" s="5" t="s">
        <v>146</v>
      </c>
      <c r="D164" s="5" t="s">
        <v>17</v>
      </c>
      <c r="E164" s="6" t="s">
        <v>18</v>
      </c>
      <c r="F164" s="10">
        <v>96</v>
      </c>
      <c r="G164" s="10">
        <v>1</v>
      </c>
      <c r="H164" s="6" t="s">
        <v>27</v>
      </c>
      <c r="I164" s="6" t="s">
        <v>20</v>
      </c>
      <c r="J164" s="6" t="s">
        <v>28</v>
      </c>
      <c r="K164" s="6" t="s">
        <v>29</v>
      </c>
      <c r="L164" s="54" t="s">
        <v>23</v>
      </c>
      <c r="M164" s="54">
        <v>187</v>
      </c>
      <c r="N164" s="54" t="s">
        <v>24</v>
      </c>
      <c r="O164" s="54">
        <v>1</v>
      </c>
    </row>
    <row r="165" spans="1:15" hidden="1" x14ac:dyDescent="0.25">
      <c r="A165" s="5">
        <v>10376</v>
      </c>
      <c r="B165" s="5" t="s">
        <v>145</v>
      </c>
      <c r="C165" s="5" t="s">
        <v>146</v>
      </c>
      <c r="D165" s="5" t="s">
        <v>17</v>
      </c>
      <c r="E165" s="6" t="s">
        <v>18</v>
      </c>
      <c r="F165" s="10">
        <v>96</v>
      </c>
      <c r="G165" s="10">
        <v>1</v>
      </c>
      <c r="H165" s="6" t="s">
        <v>19</v>
      </c>
      <c r="I165" s="6" t="s">
        <v>30</v>
      </c>
      <c r="J165" s="6" t="s">
        <v>106</v>
      </c>
      <c r="K165" s="6" t="s">
        <v>147</v>
      </c>
      <c r="L165" s="54" t="s">
        <v>23</v>
      </c>
      <c r="M165" s="54">
        <v>2.5</v>
      </c>
      <c r="N165" s="54" t="s">
        <v>24</v>
      </c>
      <c r="O165" s="54">
        <v>1</v>
      </c>
    </row>
    <row r="166" spans="1:15" hidden="1" x14ac:dyDescent="0.25">
      <c r="A166" s="5">
        <v>10377</v>
      </c>
      <c r="B166" s="5" t="s">
        <v>148</v>
      </c>
      <c r="C166" s="5" t="s">
        <v>146</v>
      </c>
      <c r="D166" s="5" t="s">
        <v>17</v>
      </c>
      <c r="E166" s="6" t="s">
        <v>18</v>
      </c>
      <c r="F166" s="10">
        <v>96</v>
      </c>
      <c r="G166" s="10">
        <v>1</v>
      </c>
      <c r="H166" s="6" t="s">
        <v>27</v>
      </c>
      <c r="I166" s="6" t="s">
        <v>20</v>
      </c>
      <c r="J166" s="6" t="s">
        <v>28</v>
      </c>
      <c r="K166" s="6" t="s">
        <v>29</v>
      </c>
      <c r="L166" s="54" t="s">
        <v>23</v>
      </c>
      <c r="M166" s="54">
        <v>187</v>
      </c>
      <c r="N166" s="54" t="s">
        <v>24</v>
      </c>
      <c r="O166" s="54">
        <v>1</v>
      </c>
    </row>
    <row r="167" spans="1:15" hidden="1" x14ac:dyDescent="0.25">
      <c r="A167" s="5">
        <v>10377</v>
      </c>
      <c r="B167" s="5" t="s">
        <v>148</v>
      </c>
      <c r="C167" s="5" t="s">
        <v>146</v>
      </c>
      <c r="D167" s="5" t="s">
        <v>17</v>
      </c>
      <c r="E167" s="6" t="s">
        <v>18</v>
      </c>
      <c r="F167" s="10">
        <v>96</v>
      </c>
      <c r="G167" s="10">
        <v>1</v>
      </c>
      <c r="H167" s="6" t="s">
        <v>19</v>
      </c>
      <c r="I167" s="6" t="s">
        <v>30</v>
      </c>
      <c r="J167" s="6" t="s">
        <v>106</v>
      </c>
      <c r="K167" s="6" t="s">
        <v>147</v>
      </c>
      <c r="L167" s="54" t="s">
        <v>23</v>
      </c>
      <c r="M167" s="54">
        <v>2.5</v>
      </c>
      <c r="N167" s="54" t="s">
        <v>24</v>
      </c>
      <c r="O167" s="54">
        <v>1</v>
      </c>
    </row>
    <row r="168" spans="1:15" hidden="1" x14ac:dyDescent="0.25">
      <c r="A168" s="5">
        <v>10378</v>
      </c>
      <c r="B168" s="5" t="s">
        <v>149</v>
      </c>
      <c r="C168" s="5" t="s">
        <v>146</v>
      </c>
      <c r="D168" s="5" t="s">
        <v>17</v>
      </c>
      <c r="E168" s="6" t="s">
        <v>18</v>
      </c>
      <c r="F168" s="10">
        <v>96</v>
      </c>
      <c r="G168" s="10">
        <v>1</v>
      </c>
      <c r="H168" s="6" t="s">
        <v>27</v>
      </c>
      <c r="I168" s="6" t="s">
        <v>20</v>
      </c>
      <c r="J168" s="6" t="s">
        <v>28</v>
      </c>
      <c r="K168" s="6" t="s">
        <v>29</v>
      </c>
      <c r="L168" s="54" t="s">
        <v>23</v>
      </c>
      <c r="M168" s="54">
        <v>187</v>
      </c>
      <c r="N168" s="54" t="s">
        <v>24</v>
      </c>
      <c r="O168" s="54">
        <v>1</v>
      </c>
    </row>
    <row r="169" spans="1:15" hidden="1" x14ac:dyDescent="0.25">
      <c r="A169" s="5">
        <v>10378</v>
      </c>
      <c r="B169" s="5" t="s">
        <v>149</v>
      </c>
      <c r="C169" s="5" t="s">
        <v>146</v>
      </c>
      <c r="D169" s="5" t="s">
        <v>17</v>
      </c>
      <c r="E169" s="6" t="s">
        <v>18</v>
      </c>
      <c r="F169" s="10">
        <v>96</v>
      </c>
      <c r="G169" s="10">
        <v>1</v>
      </c>
      <c r="H169" s="6" t="s">
        <v>19</v>
      </c>
      <c r="I169" s="6" t="s">
        <v>30</v>
      </c>
      <c r="J169" s="6" t="s">
        <v>106</v>
      </c>
      <c r="K169" s="6" t="s">
        <v>147</v>
      </c>
      <c r="L169" s="54" t="s">
        <v>23</v>
      </c>
      <c r="M169" s="54">
        <v>2.5</v>
      </c>
      <c r="N169" s="54" t="s">
        <v>24</v>
      </c>
      <c r="O169" s="54">
        <v>1</v>
      </c>
    </row>
    <row r="170" spans="1:15" hidden="1" x14ac:dyDescent="0.25">
      <c r="A170" s="5">
        <v>10379</v>
      </c>
      <c r="B170" s="5" t="s">
        <v>150</v>
      </c>
      <c r="C170" s="5" t="s">
        <v>146</v>
      </c>
      <c r="D170" s="5" t="s">
        <v>17</v>
      </c>
      <c r="E170" s="6" t="s">
        <v>18</v>
      </c>
      <c r="F170" s="10">
        <v>96</v>
      </c>
      <c r="G170" s="10">
        <v>1</v>
      </c>
      <c r="H170" s="6" t="s">
        <v>27</v>
      </c>
      <c r="I170" s="6" t="s">
        <v>20</v>
      </c>
      <c r="J170" s="6" t="s">
        <v>28</v>
      </c>
      <c r="K170" s="6" t="s">
        <v>29</v>
      </c>
      <c r="L170" s="54" t="s">
        <v>23</v>
      </c>
      <c r="M170" s="54">
        <v>187</v>
      </c>
      <c r="N170" s="54" t="s">
        <v>24</v>
      </c>
      <c r="O170" s="54">
        <v>1</v>
      </c>
    </row>
    <row r="171" spans="1:15" hidden="1" x14ac:dyDescent="0.25">
      <c r="A171" s="5">
        <v>10379</v>
      </c>
      <c r="B171" s="5" t="s">
        <v>150</v>
      </c>
      <c r="C171" s="5" t="s">
        <v>146</v>
      </c>
      <c r="D171" s="5" t="s">
        <v>17</v>
      </c>
      <c r="E171" s="6" t="s">
        <v>18</v>
      </c>
      <c r="F171" s="10">
        <v>96</v>
      </c>
      <c r="G171" s="10">
        <v>1</v>
      </c>
      <c r="H171" s="6" t="s">
        <v>19</v>
      </c>
      <c r="I171" s="6" t="s">
        <v>30</v>
      </c>
      <c r="J171" s="6" t="s">
        <v>106</v>
      </c>
      <c r="K171" s="6" t="s">
        <v>147</v>
      </c>
      <c r="L171" s="54" t="s">
        <v>23</v>
      </c>
      <c r="M171" s="54">
        <v>2.5</v>
      </c>
      <c r="N171" s="54" t="s">
        <v>24</v>
      </c>
      <c r="O171" s="54">
        <v>1</v>
      </c>
    </row>
    <row r="172" spans="1:15" hidden="1" x14ac:dyDescent="0.25">
      <c r="A172" s="5">
        <v>10385</v>
      </c>
      <c r="B172" s="5" t="s">
        <v>151</v>
      </c>
      <c r="C172" s="5" t="s">
        <v>146</v>
      </c>
      <c r="D172" s="5" t="s">
        <v>17</v>
      </c>
      <c r="E172" s="6" t="s">
        <v>18</v>
      </c>
      <c r="F172" s="10">
        <v>96</v>
      </c>
      <c r="G172" s="10">
        <v>1</v>
      </c>
      <c r="H172" s="6" t="s">
        <v>27</v>
      </c>
      <c r="I172" s="6" t="s">
        <v>20</v>
      </c>
      <c r="J172" s="6" t="s">
        <v>28</v>
      </c>
      <c r="K172" s="6" t="s">
        <v>29</v>
      </c>
      <c r="L172" s="54" t="s">
        <v>23</v>
      </c>
      <c r="M172" s="54">
        <v>187</v>
      </c>
      <c r="N172" s="54" t="s">
        <v>24</v>
      </c>
      <c r="O172" s="54">
        <v>1</v>
      </c>
    </row>
    <row r="173" spans="1:15" hidden="1" x14ac:dyDescent="0.25">
      <c r="A173" s="5">
        <v>10385</v>
      </c>
      <c r="B173" s="5" t="s">
        <v>151</v>
      </c>
      <c r="C173" s="5" t="s">
        <v>146</v>
      </c>
      <c r="D173" s="5" t="s">
        <v>17</v>
      </c>
      <c r="E173" s="6" t="s">
        <v>18</v>
      </c>
      <c r="F173" s="10">
        <v>96</v>
      </c>
      <c r="G173" s="10">
        <v>1</v>
      </c>
      <c r="H173" s="6" t="s">
        <v>19</v>
      </c>
      <c r="I173" s="6" t="s">
        <v>30</v>
      </c>
      <c r="J173" s="6" t="s">
        <v>106</v>
      </c>
      <c r="K173" s="6" t="s">
        <v>147</v>
      </c>
      <c r="L173" s="54" t="s">
        <v>23</v>
      </c>
      <c r="M173" s="54">
        <v>2.5</v>
      </c>
      <c r="N173" s="54" t="s">
        <v>24</v>
      </c>
      <c r="O173" s="54">
        <v>1</v>
      </c>
    </row>
    <row r="174" spans="1:15" hidden="1" x14ac:dyDescent="0.25">
      <c r="A174" s="5">
        <v>10407</v>
      </c>
      <c r="B174" s="5" t="s">
        <v>101</v>
      </c>
      <c r="C174" s="5" t="s">
        <v>96</v>
      </c>
      <c r="D174" s="5" t="s">
        <v>37</v>
      </c>
      <c r="E174" s="6" t="s">
        <v>18</v>
      </c>
      <c r="F174" s="10">
        <v>1</v>
      </c>
      <c r="G174" s="10">
        <v>1</v>
      </c>
      <c r="H174" s="8" t="s">
        <v>19</v>
      </c>
      <c r="I174" s="8" t="s">
        <v>20</v>
      </c>
      <c r="J174" s="8" t="s">
        <v>21</v>
      </c>
      <c r="K174" s="6" t="s">
        <v>43</v>
      </c>
      <c r="L174" s="54" t="s">
        <v>23</v>
      </c>
      <c r="M174" s="54">
        <v>152.26</v>
      </c>
      <c r="N174" s="54" t="s">
        <v>24</v>
      </c>
      <c r="O174" s="54">
        <v>1</v>
      </c>
    </row>
    <row r="175" spans="1:15" hidden="1" x14ac:dyDescent="0.25">
      <c r="A175" s="5">
        <v>10418</v>
      </c>
      <c r="B175" s="5" t="s">
        <v>102</v>
      </c>
      <c r="C175" s="5" t="s">
        <v>103</v>
      </c>
      <c r="D175" s="5" t="s">
        <v>104</v>
      </c>
      <c r="E175" s="6" t="s">
        <v>18</v>
      </c>
      <c r="F175" s="10">
        <v>20</v>
      </c>
      <c r="G175" s="10">
        <v>1</v>
      </c>
      <c r="H175" s="8" t="s">
        <v>27</v>
      </c>
      <c r="I175" s="8" t="s">
        <v>20</v>
      </c>
      <c r="J175" s="8" t="s">
        <v>28</v>
      </c>
      <c r="K175" s="6" t="s">
        <v>29</v>
      </c>
      <c r="L175" s="54" t="s">
        <v>23</v>
      </c>
      <c r="M175" s="54">
        <v>803</v>
      </c>
      <c r="N175" s="54" t="s">
        <v>24</v>
      </c>
      <c r="O175" s="54">
        <v>1</v>
      </c>
    </row>
    <row r="176" spans="1:15" hidden="1" x14ac:dyDescent="0.25">
      <c r="A176" s="5">
        <v>10418</v>
      </c>
      <c r="B176" s="5" t="s">
        <v>102</v>
      </c>
      <c r="C176" s="5" t="s">
        <v>103</v>
      </c>
      <c r="D176" s="5" t="s">
        <v>104</v>
      </c>
      <c r="E176" s="6" t="s">
        <v>18</v>
      </c>
      <c r="F176" s="10">
        <v>20</v>
      </c>
      <c r="G176" s="10">
        <v>1</v>
      </c>
      <c r="H176" s="8" t="s">
        <v>19</v>
      </c>
      <c r="I176" s="6" t="s">
        <v>30</v>
      </c>
      <c r="J176" s="6" t="s">
        <v>31</v>
      </c>
      <c r="K176" s="6" t="s">
        <v>32</v>
      </c>
      <c r="L176" s="54" t="s">
        <v>23</v>
      </c>
      <c r="M176" s="54">
        <v>15</v>
      </c>
      <c r="N176" s="54" t="s">
        <v>24</v>
      </c>
      <c r="O176" s="54">
        <v>1</v>
      </c>
    </row>
    <row r="177" spans="1:15" hidden="1" x14ac:dyDescent="0.25">
      <c r="A177" s="5">
        <v>10418</v>
      </c>
      <c r="B177" s="5" t="s">
        <v>102</v>
      </c>
      <c r="C177" s="5" t="s">
        <v>103</v>
      </c>
      <c r="D177" s="5" t="s">
        <v>104</v>
      </c>
      <c r="E177" s="6" t="s">
        <v>18</v>
      </c>
      <c r="F177" s="10">
        <v>20</v>
      </c>
      <c r="G177" s="10">
        <v>1</v>
      </c>
      <c r="H177" s="6" t="s">
        <v>105</v>
      </c>
      <c r="I177" s="6" t="s">
        <v>30</v>
      </c>
      <c r="J177" s="6" t="s">
        <v>106</v>
      </c>
      <c r="K177" s="6" t="s">
        <v>107</v>
      </c>
      <c r="L177" s="54" t="s">
        <v>23</v>
      </c>
      <c r="M177" s="54">
        <v>8</v>
      </c>
      <c r="N177" s="54" t="s">
        <v>24</v>
      </c>
      <c r="O177" s="54">
        <v>1</v>
      </c>
    </row>
    <row r="178" spans="1:15" hidden="1" x14ac:dyDescent="0.25">
      <c r="A178" s="5">
        <v>10427</v>
      </c>
      <c r="B178" s="5" t="s">
        <v>108</v>
      </c>
      <c r="C178" s="5" t="s">
        <v>103</v>
      </c>
      <c r="D178" s="5" t="s">
        <v>104</v>
      </c>
      <c r="E178" s="6" t="s">
        <v>18</v>
      </c>
      <c r="F178" s="10">
        <v>10</v>
      </c>
      <c r="G178" s="10">
        <v>1</v>
      </c>
      <c r="H178" s="8" t="s">
        <v>27</v>
      </c>
      <c r="I178" s="8" t="s">
        <v>20</v>
      </c>
      <c r="J178" s="8" t="s">
        <v>28</v>
      </c>
      <c r="K178" s="6" t="s">
        <v>29</v>
      </c>
      <c r="L178" s="54" t="s">
        <v>23</v>
      </c>
      <c r="M178" s="54">
        <v>330</v>
      </c>
      <c r="N178" s="54" t="s">
        <v>24</v>
      </c>
      <c r="O178" s="54">
        <v>1</v>
      </c>
    </row>
    <row r="179" spans="1:15" hidden="1" x14ac:dyDescent="0.25">
      <c r="A179" s="5">
        <v>10427</v>
      </c>
      <c r="B179" s="5" t="s">
        <v>108</v>
      </c>
      <c r="C179" s="5" t="s">
        <v>103</v>
      </c>
      <c r="D179" s="5" t="s">
        <v>104</v>
      </c>
      <c r="E179" s="6" t="s">
        <v>18</v>
      </c>
      <c r="F179" s="10">
        <v>10</v>
      </c>
      <c r="G179" s="10">
        <v>1</v>
      </c>
      <c r="H179" s="8" t="s">
        <v>19</v>
      </c>
      <c r="I179" s="6" t="s">
        <v>30</v>
      </c>
      <c r="J179" s="6" t="s">
        <v>31</v>
      </c>
      <c r="K179" s="6" t="s">
        <v>32</v>
      </c>
      <c r="L179" s="54" t="s">
        <v>23</v>
      </c>
      <c r="M179" s="54">
        <v>8</v>
      </c>
      <c r="N179" s="54" t="s">
        <v>24</v>
      </c>
      <c r="O179" s="54">
        <v>1</v>
      </c>
    </row>
    <row r="180" spans="1:15" hidden="1" x14ac:dyDescent="0.25">
      <c r="A180" s="5">
        <v>10427</v>
      </c>
      <c r="B180" s="5" t="s">
        <v>108</v>
      </c>
      <c r="C180" s="5" t="s">
        <v>103</v>
      </c>
      <c r="D180" s="5" t="s">
        <v>104</v>
      </c>
      <c r="E180" s="6" t="s">
        <v>18</v>
      </c>
      <c r="F180" s="10">
        <v>10</v>
      </c>
      <c r="G180" s="10">
        <v>1</v>
      </c>
      <c r="H180" s="6" t="s">
        <v>105</v>
      </c>
      <c r="I180" s="6" t="s">
        <v>30</v>
      </c>
      <c r="J180" s="6" t="s">
        <v>106</v>
      </c>
      <c r="K180" s="6" t="s">
        <v>109</v>
      </c>
      <c r="L180" s="54" t="s">
        <v>23</v>
      </c>
      <c r="M180" s="54">
        <v>2.2999999999999998</v>
      </c>
      <c r="N180" s="54" t="s">
        <v>24</v>
      </c>
      <c r="O180" s="54">
        <v>1</v>
      </c>
    </row>
    <row r="181" spans="1:15" hidden="1" x14ac:dyDescent="0.25">
      <c r="A181" s="5">
        <v>10428</v>
      </c>
      <c r="B181" s="5" t="s">
        <v>110</v>
      </c>
      <c r="C181" s="5" t="s">
        <v>103</v>
      </c>
      <c r="D181" s="5" t="s">
        <v>104</v>
      </c>
      <c r="E181" s="6" t="s">
        <v>18</v>
      </c>
      <c r="F181" s="10">
        <v>10</v>
      </c>
      <c r="G181" s="10">
        <v>1</v>
      </c>
      <c r="H181" s="8" t="s">
        <v>27</v>
      </c>
      <c r="I181" s="8" t="s">
        <v>20</v>
      </c>
      <c r="J181" s="8" t="s">
        <v>28</v>
      </c>
      <c r="K181" s="6" t="s">
        <v>29</v>
      </c>
      <c r="L181" s="54" t="s">
        <v>23</v>
      </c>
      <c r="M181" s="54">
        <v>375</v>
      </c>
      <c r="N181" s="54" t="s">
        <v>24</v>
      </c>
      <c r="O181" s="54">
        <v>1</v>
      </c>
    </row>
    <row r="182" spans="1:15" hidden="1" x14ac:dyDescent="0.25">
      <c r="A182" s="5">
        <v>10428</v>
      </c>
      <c r="B182" s="5" t="s">
        <v>110</v>
      </c>
      <c r="C182" s="5" t="s">
        <v>103</v>
      </c>
      <c r="D182" s="5" t="s">
        <v>104</v>
      </c>
      <c r="E182" s="6" t="s">
        <v>18</v>
      </c>
      <c r="F182" s="10">
        <v>10</v>
      </c>
      <c r="G182" s="10">
        <v>1</v>
      </c>
      <c r="H182" s="8" t="s">
        <v>19</v>
      </c>
      <c r="I182" s="6" t="s">
        <v>30</v>
      </c>
      <c r="J182" s="6" t="s">
        <v>31</v>
      </c>
      <c r="K182" s="6" t="s">
        <v>32</v>
      </c>
      <c r="L182" s="54" t="s">
        <v>23</v>
      </c>
      <c r="M182" s="54">
        <v>8</v>
      </c>
      <c r="N182" s="54" t="s">
        <v>24</v>
      </c>
      <c r="O182" s="54">
        <v>1</v>
      </c>
    </row>
    <row r="183" spans="1:15" hidden="1" x14ac:dyDescent="0.25">
      <c r="A183" s="5">
        <v>10428</v>
      </c>
      <c r="B183" s="5" t="s">
        <v>110</v>
      </c>
      <c r="C183" s="5" t="s">
        <v>103</v>
      </c>
      <c r="D183" s="5" t="s">
        <v>104</v>
      </c>
      <c r="E183" s="6" t="s">
        <v>18</v>
      </c>
      <c r="F183" s="10">
        <v>10</v>
      </c>
      <c r="G183" s="10">
        <v>1</v>
      </c>
      <c r="H183" s="6" t="s">
        <v>105</v>
      </c>
      <c r="I183" s="6" t="s">
        <v>30</v>
      </c>
      <c r="J183" s="6" t="s">
        <v>106</v>
      </c>
      <c r="K183" s="6" t="s">
        <v>109</v>
      </c>
      <c r="L183" s="54" t="s">
        <v>23</v>
      </c>
      <c r="M183" s="54">
        <v>2.9</v>
      </c>
      <c r="N183" s="54" t="s">
        <v>24</v>
      </c>
      <c r="O183" s="54">
        <v>1</v>
      </c>
    </row>
    <row r="184" spans="1:15" hidden="1" x14ac:dyDescent="0.25">
      <c r="A184" s="4">
        <v>10457</v>
      </c>
      <c r="B184" s="5" t="s">
        <v>50</v>
      </c>
      <c r="C184" s="5" t="s">
        <v>47</v>
      </c>
      <c r="D184" s="5" t="s">
        <v>48</v>
      </c>
      <c r="E184" s="6" t="s">
        <v>18</v>
      </c>
      <c r="F184" s="9">
        <v>15</v>
      </c>
      <c r="G184" s="9">
        <v>45</v>
      </c>
      <c r="H184" s="6" t="s">
        <v>27</v>
      </c>
      <c r="I184" s="6" t="s">
        <v>20</v>
      </c>
      <c r="J184" s="6" t="s">
        <v>28</v>
      </c>
      <c r="K184" s="6" t="s">
        <v>29</v>
      </c>
      <c r="L184" s="54" t="s">
        <v>23</v>
      </c>
      <c r="M184" s="55">
        <v>305</v>
      </c>
      <c r="N184" s="54" t="s">
        <v>24</v>
      </c>
      <c r="O184" s="54">
        <v>1</v>
      </c>
    </row>
    <row r="185" spans="1:15" hidden="1" x14ac:dyDescent="0.25">
      <c r="A185" s="4">
        <v>10484</v>
      </c>
      <c r="B185" s="5" t="s">
        <v>85</v>
      </c>
      <c r="C185" s="6" t="s">
        <v>82</v>
      </c>
      <c r="D185" s="5" t="s">
        <v>83</v>
      </c>
      <c r="E185" s="6" t="s">
        <v>18</v>
      </c>
      <c r="F185" s="9">
        <v>1</v>
      </c>
      <c r="G185" s="9">
        <v>70</v>
      </c>
      <c r="H185" s="6" t="s">
        <v>19</v>
      </c>
      <c r="I185" s="6" t="s">
        <v>30</v>
      </c>
      <c r="J185" s="6" t="s">
        <v>73</v>
      </c>
      <c r="K185" s="6" t="s">
        <v>43</v>
      </c>
      <c r="L185" s="54" t="s">
        <v>23</v>
      </c>
      <c r="M185" s="55">
        <v>90</v>
      </c>
      <c r="N185" s="54" t="s">
        <v>24</v>
      </c>
      <c r="O185" s="54">
        <v>1</v>
      </c>
    </row>
    <row r="186" spans="1:15" hidden="1" x14ac:dyDescent="0.25">
      <c r="A186" s="5">
        <v>10487</v>
      </c>
      <c r="B186" s="5" t="s">
        <v>111</v>
      </c>
      <c r="C186" s="5" t="s">
        <v>103</v>
      </c>
      <c r="D186" s="5" t="s">
        <v>104</v>
      </c>
      <c r="E186" s="6" t="s">
        <v>18</v>
      </c>
      <c r="F186" s="10">
        <v>16</v>
      </c>
      <c r="G186" s="10">
        <v>1</v>
      </c>
      <c r="H186" s="8" t="s">
        <v>27</v>
      </c>
      <c r="I186" s="8" t="s">
        <v>20</v>
      </c>
      <c r="J186" s="8" t="s">
        <v>28</v>
      </c>
      <c r="K186" s="6" t="s">
        <v>29</v>
      </c>
      <c r="L186" s="54" t="s">
        <v>23</v>
      </c>
      <c r="M186" s="54">
        <v>670</v>
      </c>
      <c r="N186" s="54" t="s">
        <v>24</v>
      </c>
      <c r="O186" s="54">
        <v>1</v>
      </c>
    </row>
    <row r="187" spans="1:15" hidden="1" x14ac:dyDescent="0.25">
      <c r="A187" s="5">
        <v>10487</v>
      </c>
      <c r="B187" s="5" t="s">
        <v>111</v>
      </c>
      <c r="C187" s="5" t="s">
        <v>103</v>
      </c>
      <c r="D187" s="5" t="s">
        <v>104</v>
      </c>
      <c r="E187" s="6" t="s">
        <v>18</v>
      </c>
      <c r="F187" s="10">
        <v>16</v>
      </c>
      <c r="G187" s="10">
        <v>1</v>
      </c>
      <c r="H187" s="6" t="s">
        <v>105</v>
      </c>
      <c r="I187" s="6" t="s">
        <v>30</v>
      </c>
      <c r="J187" s="6" t="s">
        <v>106</v>
      </c>
      <c r="K187" s="6" t="s">
        <v>107</v>
      </c>
      <c r="L187" s="54" t="s">
        <v>23</v>
      </c>
      <c r="M187" s="54">
        <v>8</v>
      </c>
      <c r="N187" s="54" t="s">
        <v>24</v>
      </c>
      <c r="O187" s="54">
        <v>1</v>
      </c>
    </row>
    <row r="188" spans="1:15" hidden="1" x14ac:dyDescent="0.25">
      <c r="A188" s="5">
        <v>10487</v>
      </c>
      <c r="B188" s="5" t="s">
        <v>111</v>
      </c>
      <c r="C188" s="5" t="s">
        <v>103</v>
      </c>
      <c r="D188" s="5" t="s">
        <v>104</v>
      </c>
      <c r="E188" s="6" t="s">
        <v>18</v>
      </c>
      <c r="F188" s="10">
        <v>16</v>
      </c>
      <c r="G188" s="10">
        <v>1</v>
      </c>
      <c r="H188" s="8" t="s">
        <v>19</v>
      </c>
      <c r="I188" s="6" t="s">
        <v>30</v>
      </c>
      <c r="J188" s="6" t="s">
        <v>31</v>
      </c>
      <c r="K188" s="6" t="s">
        <v>32</v>
      </c>
      <c r="L188" s="54" t="s">
        <v>23</v>
      </c>
      <c r="M188" s="54">
        <v>6</v>
      </c>
      <c r="N188" s="54" t="s">
        <v>24</v>
      </c>
      <c r="O188" s="54">
        <v>1</v>
      </c>
    </row>
    <row r="189" spans="1:15" hidden="1" x14ac:dyDescent="0.25">
      <c r="A189" s="5">
        <v>10488</v>
      </c>
      <c r="B189" s="5" t="s">
        <v>112</v>
      </c>
      <c r="C189" s="5" t="s">
        <v>103</v>
      </c>
      <c r="D189" s="5" t="s">
        <v>104</v>
      </c>
      <c r="E189" s="6" t="s">
        <v>18</v>
      </c>
      <c r="F189" s="10">
        <v>25</v>
      </c>
      <c r="G189" s="10">
        <v>1</v>
      </c>
      <c r="H189" s="8" t="s">
        <v>27</v>
      </c>
      <c r="I189" s="8" t="s">
        <v>20</v>
      </c>
      <c r="J189" s="8" t="s">
        <v>28</v>
      </c>
      <c r="K189" s="6" t="s">
        <v>29</v>
      </c>
      <c r="L189" s="54" t="s">
        <v>23</v>
      </c>
      <c r="M189" s="54">
        <v>585</v>
      </c>
      <c r="N189" s="54" t="s">
        <v>24</v>
      </c>
      <c r="O189" s="54">
        <v>1</v>
      </c>
    </row>
    <row r="190" spans="1:15" hidden="1" x14ac:dyDescent="0.25">
      <c r="A190" s="5">
        <v>10488</v>
      </c>
      <c r="B190" s="5" t="s">
        <v>112</v>
      </c>
      <c r="C190" s="5" t="s">
        <v>103</v>
      </c>
      <c r="D190" s="5" t="s">
        <v>104</v>
      </c>
      <c r="E190" s="6" t="s">
        <v>18</v>
      </c>
      <c r="F190" s="10">
        <v>25</v>
      </c>
      <c r="G190" s="10">
        <v>1</v>
      </c>
      <c r="H190" s="8" t="s">
        <v>19</v>
      </c>
      <c r="I190" s="6" t="s">
        <v>30</v>
      </c>
      <c r="J190" s="6" t="s">
        <v>31</v>
      </c>
      <c r="K190" s="6" t="s">
        <v>32</v>
      </c>
      <c r="L190" s="54" t="s">
        <v>23</v>
      </c>
      <c r="M190" s="54">
        <v>4.7</v>
      </c>
      <c r="N190" s="54" t="s">
        <v>24</v>
      </c>
      <c r="O190" s="54">
        <v>1</v>
      </c>
    </row>
    <row r="191" spans="1:15" hidden="1" x14ac:dyDescent="0.25">
      <c r="A191" s="5">
        <v>10488</v>
      </c>
      <c r="B191" s="5" t="s">
        <v>112</v>
      </c>
      <c r="C191" s="5" t="s">
        <v>103</v>
      </c>
      <c r="D191" s="5" t="s">
        <v>104</v>
      </c>
      <c r="E191" s="6" t="s">
        <v>18</v>
      </c>
      <c r="F191" s="10">
        <v>25</v>
      </c>
      <c r="G191" s="10">
        <v>1</v>
      </c>
      <c r="H191" s="6" t="s">
        <v>105</v>
      </c>
      <c r="I191" s="6" t="s">
        <v>30</v>
      </c>
      <c r="J191" s="6" t="s">
        <v>106</v>
      </c>
      <c r="K191" s="6" t="s">
        <v>107</v>
      </c>
      <c r="L191" s="54" t="s">
        <v>23</v>
      </c>
      <c r="M191" s="54">
        <v>4.5</v>
      </c>
      <c r="N191" s="54" t="s">
        <v>24</v>
      </c>
      <c r="O191" s="54">
        <v>1</v>
      </c>
    </row>
    <row r="192" spans="1:15" hidden="1" x14ac:dyDescent="0.25">
      <c r="A192" s="5">
        <v>10489</v>
      </c>
      <c r="B192" s="5" t="s">
        <v>113</v>
      </c>
      <c r="C192" s="5" t="s">
        <v>103</v>
      </c>
      <c r="D192" s="5" t="s">
        <v>104</v>
      </c>
      <c r="E192" s="6" t="s">
        <v>18</v>
      </c>
      <c r="F192" s="10">
        <v>30</v>
      </c>
      <c r="G192" s="10">
        <v>1</v>
      </c>
      <c r="H192" s="8" t="s">
        <v>27</v>
      </c>
      <c r="I192" s="8" t="s">
        <v>20</v>
      </c>
      <c r="J192" s="8" t="s">
        <v>28</v>
      </c>
      <c r="K192" s="6" t="s">
        <v>29</v>
      </c>
      <c r="L192" s="54" t="s">
        <v>23</v>
      </c>
      <c r="M192" s="54">
        <v>680</v>
      </c>
      <c r="N192" s="54" t="s">
        <v>24</v>
      </c>
      <c r="O192" s="54">
        <v>1</v>
      </c>
    </row>
    <row r="193" spans="1:15" hidden="1" x14ac:dyDescent="0.25">
      <c r="A193" s="5">
        <v>10489</v>
      </c>
      <c r="B193" s="5" t="s">
        <v>113</v>
      </c>
      <c r="C193" s="5" t="s">
        <v>103</v>
      </c>
      <c r="D193" s="5" t="s">
        <v>104</v>
      </c>
      <c r="E193" s="6" t="s">
        <v>18</v>
      </c>
      <c r="F193" s="10">
        <v>30</v>
      </c>
      <c r="G193" s="10">
        <v>1</v>
      </c>
      <c r="H193" s="8" t="s">
        <v>19</v>
      </c>
      <c r="I193" s="6" t="s">
        <v>30</v>
      </c>
      <c r="J193" s="6" t="s">
        <v>31</v>
      </c>
      <c r="K193" s="6" t="s">
        <v>32</v>
      </c>
      <c r="L193" s="54" t="s">
        <v>23</v>
      </c>
      <c r="M193" s="54">
        <v>5</v>
      </c>
      <c r="N193" s="54" t="s">
        <v>24</v>
      </c>
      <c r="O193" s="54">
        <v>1</v>
      </c>
    </row>
    <row r="194" spans="1:15" hidden="1" x14ac:dyDescent="0.25">
      <c r="A194" s="5">
        <v>10489</v>
      </c>
      <c r="B194" s="5" t="s">
        <v>113</v>
      </c>
      <c r="C194" s="5" t="s">
        <v>103</v>
      </c>
      <c r="D194" s="5" t="s">
        <v>104</v>
      </c>
      <c r="E194" s="6" t="s">
        <v>18</v>
      </c>
      <c r="F194" s="10">
        <v>30</v>
      </c>
      <c r="G194" s="10">
        <v>1</v>
      </c>
      <c r="H194" s="6" t="s">
        <v>105</v>
      </c>
      <c r="I194" s="6" t="s">
        <v>30</v>
      </c>
      <c r="J194" s="6" t="s">
        <v>106</v>
      </c>
      <c r="K194" s="6" t="s">
        <v>107</v>
      </c>
      <c r="L194" s="54" t="s">
        <v>23</v>
      </c>
      <c r="M194" s="54">
        <v>2</v>
      </c>
      <c r="N194" s="54" t="s">
        <v>24</v>
      </c>
      <c r="O194" s="54">
        <v>1</v>
      </c>
    </row>
    <row r="195" spans="1:15" hidden="1" x14ac:dyDescent="0.25">
      <c r="A195" s="6">
        <v>10513</v>
      </c>
      <c r="B195" s="6" t="s">
        <v>89</v>
      </c>
      <c r="C195" s="6" t="s">
        <v>90</v>
      </c>
      <c r="D195" s="6" t="s">
        <v>91</v>
      </c>
      <c r="E195" s="6" t="s">
        <v>18</v>
      </c>
      <c r="F195" s="7">
        <v>10</v>
      </c>
      <c r="G195" s="7">
        <v>1</v>
      </c>
      <c r="H195" s="8" t="s">
        <v>27</v>
      </c>
      <c r="I195" s="6" t="s">
        <v>30</v>
      </c>
      <c r="J195" s="6" t="s">
        <v>31</v>
      </c>
      <c r="K195" s="6" t="s">
        <v>32</v>
      </c>
      <c r="L195" s="54" t="s">
        <v>23</v>
      </c>
      <c r="M195" s="55">
        <v>65</v>
      </c>
      <c r="N195" s="54" t="s">
        <v>24</v>
      </c>
      <c r="O195" s="54">
        <v>1</v>
      </c>
    </row>
    <row r="196" spans="1:15" hidden="1" x14ac:dyDescent="0.25">
      <c r="A196" s="6">
        <v>10513</v>
      </c>
      <c r="B196" s="6" t="s">
        <v>89</v>
      </c>
      <c r="C196" s="6" t="s">
        <v>90</v>
      </c>
      <c r="D196" s="6" t="s">
        <v>91</v>
      </c>
      <c r="E196" s="6" t="s">
        <v>18</v>
      </c>
      <c r="F196" s="7">
        <v>10</v>
      </c>
      <c r="G196" s="7">
        <v>1</v>
      </c>
      <c r="H196" s="8" t="s">
        <v>19</v>
      </c>
      <c r="I196" s="8" t="s">
        <v>20</v>
      </c>
      <c r="J196" s="8" t="s">
        <v>28</v>
      </c>
      <c r="K196" s="6" t="s">
        <v>61</v>
      </c>
      <c r="L196" s="54" t="s">
        <v>23</v>
      </c>
      <c r="M196" s="55">
        <v>20</v>
      </c>
      <c r="N196" s="54" t="s">
        <v>24</v>
      </c>
      <c r="O196" s="54">
        <v>1</v>
      </c>
    </row>
    <row r="197" spans="1:15" hidden="1" x14ac:dyDescent="0.25">
      <c r="A197" s="6">
        <v>10513</v>
      </c>
      <c r="B197" s="6" t="s">
        <v>89</v>
      </c>
      <c r="C197" s="6" t="s">
        <v>90</v>
      </c>
      <c r="D197" s="6" t="s">
        <v>91</v>
      </c>
      <c r="E197" s="6" t="s">
        <v>18</v>
      </c>
      <c r="F197" s="7">
        <v>10</v>
      </c>
      <c r="G197" s="7">
        <v>1</v>
      </c>
      <c r="H197" s="8" t="s">
        <v>19</v>
      </c>
      <c r="I197" s="6" t="s">
        <v>30</v>
      </c>
      <c r="J197" s="6" t="s">
        <v>31</v>
      </c>
      <c r="K197" s="6" t="s">
        <v>32</v>
      </c>
      <c r="L197" s="54" t="s">
        <v>23</v>
      </c>
      <c r="M197" s="55">
        <v>12</v>
      </c>
      <c r="N197" s="54" t="s">
        <v>24</v>
      </c>
      <c r="O197" s="54">
        <v>1</v>
      </c>
    </row>
    <row r="198" spans="1:15" hidden="1" x14ac:dyDescent="0.25">
      <c r="A198" s="5">
        <v>10519</v>
      </c>
      <c r="B198" s="5" t="s">
        <v>114</v>
      </c>
      <c r="C198" s="5" t="s">
        <v>103</v>
      </c>
      <c r="D198" s="5" t="s">
        <v>104</v>
      </c>
      <c r="E198" s="6" t="s">
        <v>18</v>
      </c>
      <c r="F198" s="10">
        <v>10</v>
      </c>
      <c r="G198" s="10">
        <v>1</v>
      </c>
      <c r="H198" s="8" t="s">
        <v>27</v>
      </c>
      <c r="I198" s="8" t="s">
        <v>20</v>
      </c>
      <c r="J198" s="8" t="s">
        <v>28</v>
      </c>
      <c r="K198" s="6" t="s">
        <v>29</v>
      </c>
      <c r="L198" s="54" t="s">
        <v>23</v>
      </c>
      <c r="M198" s="54">
        <v>330</v>
      </c>
      <c r="N198" s="54" t="s">
        <v>24</v>
      </c>
      <c r="O198" s="54">
        <v>1</v>
      </c>
    </row>
    <row r="199" spans="1:15" hidden="1" x14ac:dyDescent="0.25">
      <c r="A199" s="5">
        <v>10519</v>
      </c>
      <c r="B199" s="5" t="s">
        <v>114</v>
      </c>
      <c r="C199" s="5" t="s">
        <v>103</v>
      </c>
      <c r="D199" s="5" t="s">
        <v>104</v>
      </c>
      <c r="E199" s="6" t="s">
        <v>18</v>
      </c>
      <c r="F199" s="10">
        <v>10</v>
      </c>
      <c r="G199" s="10">
        <v>1</v>
      </c>
      <c r="H199" s="8" t="s">
        <v>19</v>
      </c>
      <c r="I199" s="6" t="s">
        <v>30</v>
      </c>
      <c r="J199" s="6" t="s">
        <v>31</v>
      </c>
      <c r="K199" s="6" t="s">
        <v>32</v>
      </c>
      <c r="L199" s="54" t="s">
        <v>23</v>
      </c>
      <c r="M199" s="54">
        <v>8</v>
      </c>
      <c r="N199" s="54" t="s">
        <v>24</v>
      </c>
      <c r="O199" s="54">
        <v>1</v>
      </c>
    </row>
    <row r="200" spans="1:15" hidden="1" x14ac:dyDescent="0.25">
      <c r="A200" s="5">
        <v>10519</v>
      </c>
      <c r="B200" s="5" t="s">
        <v>114</v>
      </c>
      <c r="C200" s="5" t="s">
        <v>103</v>
      </c>
      <c r="D200" s="5" t="s">
        <v>104</v>
      </c>
      <c r="E200" s="6" t="s">
        <v>18</v>
      </c>
      <c r="F200" s="10">
        <v>10</v>
      </c>
      <c r="G200" s="10">
        <v>1</v>
      </c>
      <c r="H200" s="6" t="s">
        <v>105</v>
      </c>
      <c r="I200" s="6" t="s">
        <v>30</v>
      </c>
      <c r="J200" s="6" t="s">
        <v>106</v>
      </c>
      <c r="K200" s="6" t="s">
        <v>109</v>
      </c>
      <c r="L200" s="54" t="s">
        <v>23</v>
      </c>
      <c r="M200" s="54">
        <v>2.2999999999999998</v>
      </c>
      <c r="N200" s="54" t="s">
        <v>24</v>
      </c>
      <c r="O200" s="54">
        <v>1</v>
      </c>
    </row>
    <row r="201" spans="1:15" hidden="1" x14ac:dyDescent="0.25">
      <c r="A201" s="5">
        <v>10520</v>
      </c>
      <c r="B201" s="5" t="s">
        <v>115</v>
      </c>
      <c r="C201" s="5" t="s">
        <v>103</v>
      </c>
      <c r="D201" s="5" t="s">
        <v>104</v>
      </c>
      <c r="E201" s="6" t="s">
        <v>18</v>
      </c>
      <c r="F201" s="10">
        <v>10</v>
      </c>
      <c r="G201" s="10">
        <v>1</v>
      </c>
      <c r="H201" s="8" t="s">
        <v>27</v>
      </c>
      <c r="I201" s="8" t="s">
        <v>20</v>
      </c>
      <c r="J201" s="8" t="s">
        <v>28</v>
      </c>
      <c r="K201" s="6" t="s">
        <v>29</v>
      </c>
      <c r="L201" s="54" t="s">
        <v>23</v>
      </c>
      <c r="M201" s="54">
        <v>375</v>
      </c>
      <c r="N201" s="54" t="s">
        <v>24</v>
      </c>
      <c r="O201" s="54">
        <v>1</v>
      </c>
    </row>
    <row r="202" spans="1:15" hidden="1" x14ac:dyDescent="0.25">
      <c r="A202" s="5">
        <v>10520</v>
      </c>
      <c r="B202" s="5" t="s">
        <v>115</v>
      </c>
      <c r="C202" s="5" t="s">
        <v>103</v>
      </c>
      <c r="D202" s="5" t="s">
        <v>104</v>
      </c>
      <c r="E202" s="6" t="s">
        <v>18</v>
      </c>
      <c r="F202" s="10">
        <v>10</v>
      </c>
      <c r="G202" s="10">
        <v>1</v>
      </c>
      <c r="H202" s="8" t="s">
        <v>19</v>
      </c>
      <c r="I202" s="6" t="s">
        <v>30</v>
      </c>
      <c r="J202" s="6" t="s">
        <v>31</v>
      </c>
      <c r="K202" s="6" t="s">
        <v>32</v>
      </c>
      <c r="L202" s="54" t="s">
        <v>23</v>
      </c>
      <c r="M202" s="54">
        <v>8</v>
      </c>
      <c r="N202" s="54" t="s">
        <v>24</v>
      </c>
      <c r="O202" s="54">
        <v>1</v>
      </c>
    </row>
    <row r="203" spans="1:15" hidden="1" x14ac:dyDescent="0.25">
      <c r="A203" s="5">
        <v>10520</v>
      </c>
      <c r="B203" s="5" t="s">
        <v>115</v>
      </c>
      <c r="C203" s="5" t="s">
        <v>103</v>
      </c>
      <c r="D203" s="5" t="s">
        <v>104</v>
      </c>
      <c r="E203" s="6" t="s">
        <v>18</v>
      </c>
      <c r="F203" s="10">
        <v>10</v>
      </c>
      <c r="G203" s="10">
        <v>1</v>
      </c>
      <c r="H203" s="6" t="s">
        <v>105</v>
      </c>
      <c r="I203" s="6" t="s">
        <v>30</v>
      </c>
      <c r="J203" s="6" t="s">
        <v>106</v>
      </c>
      <c r="K203" s="6" t="s">
        <v>109</v>
      </c>
      <c r="L203" s="54" t="s">
        <v>23</v>
      </c>
      <c r="M203" s="54">
        <v>2.9</v>
      </c>
      <c r="N203" s="54" t="s">
        <v>24</v>
      </c>
      <c r="O203" s="54">
        <v>1</v>
      </c>
    </row>
    <row r="204" spans="1:15" hidden="1" x14ac:dyDescent="0.25">
      <c r="A204" s="4">
        <v>10524</v>
      </c>
      <c r="B204" s="5" t="s">
        <v>40</v>
      </c>
      <c r="C204" s="5" t="s">
        <v>16</v>
      </c>
      <c r="D204" s="5" t="s">
        <v>17</v>
      </c>
      <c r="E204" s="6" t="s">
        <v>18</v>
      </c>
      <c r="F204" s="7">
        <v>12</v>
      </c>
      <c r="G204" s="7">
        <v>176</v>
      </c>
      <c r="H204" s="6" t="s">
        <v>19</v>
      </c>
      <c r="I204" s="6" t="s">
        <v>25</v>
      </c>
      <c r="J204" s="6" t="s">
        <v>25</v>
      </c>
      <c r="K204" s="6" t="s">
        <v>26</v>
      </c>
      <c r="L204" s="54" t="s">
        <v>23</v>
      </c>
      <c r="M204" s="55">
        <v>61</v>
      </c>
      <c r="N204" s="54" t="s">
        <v>24</v>
      </c>
      <c r="O204" s="54">
        <v>1</v>
      </c>
    </row>
    <row r="205" spans="1:15" hidden="1" x14ac:dyDescent="0.25">
      <c r="A205" s="4">
        <v>10524</v>
      </c>
      <c r="B205" s="5" t="s">
        <v>40</v>
      </c>
      <c r="C205" s="5" t="s">
        <v>16</v>
      </c>
      <c r="D205" s="5" t="s">
        <v>17</v>
      </c>
      <c r="E205" s="6" t="s">
        <v>18</v>
      </c>
      <c r="F205" s="7">
        <v>12</v>
      </c>
      <c r="G205" s="7">
        <v>176</v>
      </c>
      <c r="H205" s="6" t="s">
        <v>27</v>
      </c>
      <c r="I205" s="6" t="s">
        <v>20</v>
      </c>
      <c r="J205" s="6" t="s">
        <v>28</v>
      </c>
      <c r="K205" s="6" t="s">
        <v>29</v>
      </c>
      <c r="L205" s="54" t="s">
        <v>23</v>
      </c>
      <c r="M205" s="55">
        <v>48.8</v>
      </c>
      <c r="N205" s="54" t="s">
        <v>24</v>
      </c>
      <c r="O205" s="54">
        <v>1</v>
      </c>
    </row>
    <row r="206" spans="1:15" hidden="1" x14ac:dyDescent="0.25">
      <c r="A206" s="4">
        <v>10524</v>
      </c>
      <c r="B206" s="5" t="s">
        <v>40</v>
      </c>
      <c r="C206" s="5" t="s">
        <v>16</v>
      </c>
      <c r="D206" s="5" t="s">
        <v>17</v>
      </c>
      <c r="E206" s="6" t="s">
        <v>18</v>
      </c>
      <c r="F206" s="7">
        <v>12</v>
      </c>
      <c r="G206" s="7">
        <v>176</v>
      </c>
      <c r="H206" s="6" t="s">
        <v>27</v>
      </c>
      <c r="I206" s="6" t="s">
        <v>30</v>
      </c>
      <c r="J206" s="6" t="s">
        <v>31</v>
      </c>
      <c r="K206" s="6" t="s">
        <v>32</v>
      </c>
      <c r="L206" s="54" t="s">
        <v>23</v>
      </c>
      <c r="M206" s="55">
        <v>21.2</v>
      </c>
      <c r="N206" s="54" t="s">
        <v>24</v>
      </c>
      <c r="O206" s="54">
        <v>1</v>
      </c>
    </row>
    <row r="207" spans="1:15" hidden="1" x14ac:dyDescent="0.25">
      <c r="A207" s="4">
        <v>10524</v>
      </c>
      <c r="B207" s="5" t="s">
        <v>40</v>
      </c>
      <c r="C207" s="5" t="s">
        <v>16</v>
      </c>
      <c r="D207" s="5" t="s">
        <v>17</v>
      </c>
      <c r="E207" s="6" t="s">
        <v>18</v>
      </c>
      <c r="F207" s="7">
        <v>12</v>
      </c>
      <c r="G207" s="7">
        <v>176</v>
      </c>
      <c r="H207" s="6" t="s">
        <v>19</v>
      </c>
      <c r="I207" s="8" t="s">
        <v>20</v>
      </c>
      <c r="J207" s="8" t="s">
        <v>21</v>
      </c>
      <c r="K207" s="6" t="s">
        <v>22</v>
      </c>
      <c r="L207" s="54" t="s">
        <v>23</v>
      </c>
      <c r="M207" s="55">
        <v>1.7</v>
      </c>
      <c r="N207" s="54" t="s">
        <v>24</v>
      </c>
      <c r="O207" s="54">
        <v>1</v>
      </c>
    </row>
    <row r="208" spans="1:15" hidden="1" x14ac:dyDescent="0.25">
      <c r="A208" s="5">
        <v>10546</v>
      </c>
      <c r="B208" s="5" t="s">
        <v>142</v>
      </c>
      <c r="C208" s="5" t="s">
        <v>143</v>
      </c>
      <c r="D208" s="5" t="s">
        <v>104</v>
      </c>
      <c r="E208" s="6" t="s">
        <v>18</v>
      </c>
      <c r="F208" s="10">
        <v>20</v>
      </c>
      <c r="G208" s="10">
        <v>75</v>
      </c>
      <c r="H208" s="6" t="s">
        <v>38</v>
      </c>
      <c r="I208" s="6" t="s">
        <v>121</v>
      </c>
      <c r="J208" s="6" t="s">
        <v>121</v>
      </c>
      <c r="K208" s="6" t="s">
        <v>122</v>
      </c>
      <c r="L208" s="54" t="s">
        <v>23</v>
      </c>
      <c r="M208" s="54">
        <v>16000</v>
      </c>
      <c r="N208" s="54" t="s">
        <v>24</v>
      </c>
      <c r="O208" s="54">
        <v>1</v>
      </c>
    </row>
    <row r="209" spans="1:15" hidden="1" x14ac:dyDescent="0.25">
      <c r="A209" s="5">
        <v>10546</v>
      </c>
      <c r="B209" s="5" t="s">
        <v>142</v>
      </c>
      <c r="C209" s="5" t="s">
        <v>143</v>
      </c>
      <c r="D209" s="5" t="s">
        <v>104</v>
      </c>
      <c r="E209" s="6" t="s">
        <v>18</v>
      </c>
      <c r="F209" s="10">
        <v>20</v>
      </c>
      <c r="G209" s="10">
        <v>75</v>
      </c>
      <c r="H209" s="6" t="s">
        <v>38</v>
      </c>
      <c r="I209" s="6" t="s">
        <v>30</v>
      </c>
      <c r="J209" s="6" t="s">
        <v>31</v>
      </c>
      <c r="K209" s="6" t="s">
        <v>43</v>
      </c>
      <c r="L209" s="54" t="s">
        <v>23</v>
      </c>
      <c r="M209" s="54">
        <v>200</v>
      </c>
      <c r="N209" s="54" t="s">
        <v>24</v>
      </c>
      <c r="O209" s="54">
        <v>1</v>
      </c>
    </row>
    <row r="210" spans="1:15" hidden="1" x14ac:dyDescent="0.25">
      <c r="A210" s="5">
        <v>10547</v>
      </c>
      <c r="B210" s="5" t="s">
        <v>144</v>
      </c>
      <c r="C210" s="5" t="s">
        <v>143</v>
      </c>
      <c r="D210" s="5" t="s">
        <v>104</v>
      </c>
      <c r="E210" s="6" t="s">
        <v>18</v>
      </c>
      <c r="F210" s="10">
        <v>10</v>
      </c>
      <c r="G210" s="10">
        <v>48</v>
      </c>
      <c r="H210" s="6" t="s">
        <v>38</v>
      </c>
      <c r="I210" s="6" t="s">
        <v>121</v>
      </c>
      <c r="J210" s="6" t="s">
        <v>121</v>
      </c>
      <c r="K210" s="6" t="s">
        <v>122</v>
      </c>
      <c r="L210" s="54" t="s">
        <v>23</v>
      </c>
      <c r="M210" s="54">
        <v>16000</v>
      </c>
      <c r="N210" s="54" t="s">
        <v>24</v>
      </c>
      <c r="O210" s="54">
        <v>1</v>
      </c>
    </row>
    <row r="211" spans="1:15" hidden="1" x14ac:dyDescent="0.25">
      <c r="A211" s="5">
        <v>10547</v>
      </c>
      <c r="B211" s="5" t="s">
        <v>144</v>
      </c>
      <c r="C211" s="5" t="s">
        <v>143</v>
      </c>
      <c r="D211" s="5" t="s">
        <v>104</v>
      </c>
      <c r="E211" s="6" t="s">
        <v>18</v>
      </c>
      <c r="F211" s="10">
        <v>10</v>
      </c>
      <c r="G211" s="10">
        <v>48</v>
      </c>
      <c r="H211" s="6" t="s">
        <v>38</v>
      </c>
      <c r="I211" s="6" t="s">
        <v>30</v>
      </c>
      <c r="J211" s="6" t="s">
        <v>31</v>
      </c>
      <c r="K211" s="6" t="s">
        <v>43</v>
      </c>
      <c r="L211" s="54" t="s">
        <v>23</v>
      </c>
      <c r="M211" s="54">
        <v>200</v>
      </c>
      <c r="N211" s="54" t="s">
        <v>24</v>
      </c>
      <c r="O211" s="54">
        <v>1</v>
      </c>
    </row>
    <row r="212" spans="1:15" hidden="1" x14ac:dyDescent="0.25">
      <c r="A212" s="5">
        <v>10555</v>
      </c>
      <c r="B212" s="5" t="s">
        <v>139</v>
      </c>
      <c r="C212" s="5" t="s">
        <v>140</v>
      </c>
      <c r="D212" s="5" t="s">
        <v>37</v>
      </c>
      <c r="E212" s="6" t="s">
        <v>18</v>
      </c>
      <c r="F212" s="10">
        <v>1</v>
      </c>
      <c r="G212" s="10">
        <v>1</v>
      </c>
      <c r="H212" s="8" t="s">
        <v>19</v>
      </c>
      <c r="I212" s="6" t="s">
        <v>30</v>
      </c>
      <c r="J212" s="6" t="s">
        <v>138</v>
      </c>
      <c r="K212" s="6" t="s">
        <v>141</v>
      </c>
      <c r="L212" s="54" t="s">
        <v>23</v>
      </c>
      <c r="M212" s="54">
        <v>204</v>
      </c>
      <c r="N212" s="54" t="s">
        <v>24</v>
      </c>
      <c r="O212" s="54">
        <v>1</v>
      </c>
    </row>
    <row r="213" spans="1:15" hidden="1" x14ac:dyDescent="0.25">
      <c r="A213" s="5">
        <v>10555</v>
      </c>
      <c r="B213" s="5" t="s">
        <v>139</v>
      </c>
      <c r="C213" s="5" t="s">
        <v>140</v>
      </c>
      <c r="D213" s="5" t="s">
        <v>37</v>
      </c>
      <c r="E213" s="6" t="s">
        <v>18</v>
      </c>
      <c r="F213" s="10">
        <v>1</v>
      </c>
      <c r="G213" s="10">
        <v>1</v>
      </c>
      <c r="H213" s="8" t="s">
        <v>19</v>
      </c>
      <c r="I213" s="6" t="s">
        <v>30</v>
      </c>
      <c r="J213" s="6" t="s">
        <v>106</v>
      </c>
      <c r="K213" s="6"/>
      <c r="L213" s="54" t="s">
        <v>23</v>
      </c>
      <c r="M213" s="54">
        <v>44</v>
      </c>
      <c r="N213" s="54" t="s">
        <v>24</v>
      </c>
      <c r="O213" s="54">
        <v>1</v>
      </c>
    </row>
    <row r="214" spans="1:15" hidden="1" x14ac:dyDescent="0.25">
      <c r="A214" s="5">
        <v>10555</v>
      </c>
      <c r="B214" s="5" t="s">
        <v>139</v>
      </c>
      <c r="C214" s="5" t="s">
        <v>140</v>
      </c>
      <c r="D214" s="5" t="s">
        <v>37</v>
      </c>
      <c r="E214" s="6" t="s">
        <v>18</v>
      </c>
      <c r="F214" s="10">
        <v>1</v>
      </c>
      <c r="G214" s="10">
        <v>1</v>
      </c>
      <c r="H214" s="8" t="s">
        <v>19</v>
      </c>
      <c r="I214" s="8" t="s">
        <v>20</v>
      </c>
      <c r="J214" s="6" t="s">
        <v>21</v>
      </c>
      <c r="K214" s="6" t="s">
        <v>22</v>
      </c>
      <c r="L214" s="54" t="s">
        <v>23</v>
      </c>
      <c r="M214" s="54">
        <v>3</v>
      </c>
      <c r="N214" s="54" t="s">
        <v>24</v>
      </c>
      <c r="O214" s="54">
        <v>1</v>
      </c>
    </row>
    <row r="215" spans="1:15" hidden="1" x14ac:dyDescent="0.25">
      <c r="A215" s="4">
        <v>10588</v>
      </c>
      <c r="B215" s="5" t="s">
        <v>92</v>
      </c>
      <c r="C215" s="5" t="s">
        <v>90</v>
      </c>
      <c r="D215" s="5" t="s">
        <v>91</v>
      </c>
      <c r="E215" s="6" t="s">
        <v>18</v>
      </c>
      <c r="F215" s="9">
        <v>5</v>
      </c>
      <c r="G215" s="9">
        <v>30</v>
      </c>
      <c r="H215" s="6" t="s">
        <v>19</v>
      </c>
      <c r="I215" s="6" t="s">
        <v>20</v>
      </c>
      <c r="J215" s="6" t="s">
        <v>21</v>
      </c>
      <c r="K215" s="6" t="s">
        <v>61</v>
      </c>
      <c r="L215" s="54" t="s">
        <v>23</v>
      </c>
      <c r="M215" s="55">
        <v>80</v>
      </c>
      <c r="N215" s="54" t="s">
        <v>24</v>
      </c>
      <c r="O215" s="54">
        <v>1</v>
      </c>
    </row>
    <row r="216" spans="1:15" hidden="1" x14ac:dyDescent="0.25">
      <c r="A216" s="4">
        <v>10588</v>
      </c>
      <c r="B216" s="5" t="s">
        <v>92</v>
      </c>
      <c r="C216" s="5" t="s">
        <v>90</v>
      </c>
      <c r="D216" s="5" t="s">
        <v>91</v>
      </c>
      <c r="E216" s="6" t="s">
        <v>18</v>
      </c>
      <c r="F216" s="9">
        <v>5</v>
      </c>
      <c r="G216" s="9">
        <v>30</v>
      </c>
      <c r="H216" s="6" t="s">
        <v>27</v>
      </c>
      <c r="I216" s="6" t="s">
        <v>30</v>
      </c>
      <c r="J216" s="6" t="s">
        <v>31</v>
      </c>
      <c r="K216" s="6" t="s">
        <v>32</v>
      </c>
      <c r="L216" s="54" t="s">
        <v>23</v>
      </c>
      <c r="M216" s="55">
        <v>70</v>
      </c>
      <c r="N216" s="54" t="s">
        <v>24</v>
      </c>
      <c r="O216" s="54">
        <v>1</v>
      </c>
    </row>
    <row r="217" spans="1:15" hidden="1" x14ac:dyDescent="0.25">
      <c r="A217" s="4">
        <v>10588</v>
      </c>
      <c r="B217" s="5" t="s">
        <v>92</v>
      </c>
      <c r="C217" s="5" t="s">
        <v>90</v>
      </c>
      <c r="D217" s="5" t="s">
        <v>91</v>
      </c>
      <c r="E217" s="6" t="s">
        <v>18</v>
      </c>
      <c r="F217" s="9">
        <v>5</v>
      </c>
      <c r="G217" s="9">
        <v>30</v>
      </c>
      <c r="H217" s="6" t="s">
        <v>19</v>
      </c>
      <c r="I217" s="6" t="s">
        <v>30</v>
      </c>
      <c r="J217" s="6" t="s">
        <v>31</v>
      </c>
      <c r="K217" s="6" t="s">
        <v>32</v>
      </c>
      <c r="L217" s="54" t="s">
        <v>23</v>
      </c>
      <c r="M217" s="55">
        <v>35</v>
      </c>
      <c r="N217" s="54" t="s">
        <v>24</v>
      </c>
      <c r="O217" s="54">
        <v>1</v>
      </c>
    </row>
    <row r="218" spans="1:15" hidden="1" x14ac:dyDescent="0.25">
      <c r="A218" s="4">
        <v>10589</v>
      </c>
      <c r="B218" s="5" t="s">
        <v>93</v>
      </c>
      <c r="C218" s="5" t="s">
        <v>90</v>
      </c>
      <c r="D218" s="5" t="s">
        <v>91</v>
      </c>
      <c r="E218" s="6" t="s">
        <v>18</v>
      </c>
      <c r="F218" s="9">
        <v>4</v>
      </c>
      <c r="G218" s="9">
        <v>1</v>
      </c>
      <c r="H218" s="6" t="s">
        <v>27</v>
      </c>
      <c r="I218" s="6" t="s">
        <v>30</v>
      </c>
      <c r="J218" s="6" t="s">
        <v>31</v>
      </c>
      <c r="K218" s="6" t="s">
        <v>32</v>
      </c>
      <c r="L218" s="54" t="s">
        <v>23</v>
      </c>
      <c r="M218" s="55">
        <v>60</v>
      </c>
      <c r="N218" s="54" t="s">
        <v>24</v>
      </c>
      <c r="O218" s="54">
        <v>1</v>
      </c>
    </row>
    <row r="219" spans="1:15" hidden="1" x14ac:dyDescent="0.25">
      <c r="A219" s="4">
        <v>10589</v>
      </c>
      <c r="B219" s="5" t="s">
        <v>93</v>
      </c>
      <c r="C219" s="5" t="s">
        <v>90</v>
      </c>
      <c r="D219" s="5" t="s">
        <v>91</v>
      </c>
      <c r="E219" s="6" t="s">
        <v>18</v>
      </c>
      <c r="F219" s="9">
        <v>4</v>
      </c>
      <c r="G219" s="9">
        <v>1</v>
      </c>
      <c r="H219" s="6" t="s">
        <v>19</v>
      </c>
      <c r="I219" s="6" t="s">
        <v>20</v>
      </c>
      <c r="J219" s="6" t="s">
        <v>21</v>
      </c>
      <c r="K219" s="6" t="s">
        <v>61</v>
      </c>
      <c r="L219" s="54" t="s">
        <v>23</v>
      </c>
      <c r="M219" s="55">
        <v>45</v>
      </c>
      <c r="N219" s="54" t="s">
        <v>24</v>
      </c>
      <c r="O219" s="54">
        <v>1</v>
      </c>
    </row>
    <row r="220" spans="1:15" hidden="1" x14ac:dyDescent="0.25">
      <c r="A220" s="4">
        <v>10589</v>
      </c>
      <c r="B220" s="5" t="s">
        <v>93</v>
      </c>
      <c r="C220" s="5" t="s">
        <v>90</v>
      </c>
      <c r="D220" s="5" t="s">
        <v>91</v>
      </c>
      <c r="E220" s="6" t="s">
        <v>18</v>
      </c>
      <c r="F220" s="9">
        <v>4</v>
      </c>
      <c r="G220" s="9">
        <v>1</v>
      </c>
      <c r="H220" s="6" t="s">
        <v>19</v>
      </c>
      <c r="I220" s="6" t="s">
        <v>30</v>
      </c>
      <c r="J220" s="6" t="s">
        <v>31</v>
      </c>
      <c r="K220" s="6" t="s">
        <v>32</v>
      </c>
      <c r="L220" s="54" t="s">
        <v>23</v>
      </c>
      <c r="M220" s="55">
        <v>20</v>
      </c>
      <c r="N220" s="54" t="s">
        <v>24</v>
      </c>
      <c r="O220" s="54">
        <v>1</v>
      </c>
    </row>
    <row r="221" spans="1:15" hidden="1" x14ac:dyDescent="0.25">
      <c r="A221" s="4">
        <v>10592</v>
      </c>
      <c r="B221" s="5" t="s">
        <v>64</v>
      </c>
      <c r="C221" s="5" t="s">
        <v>57</v>
      </c>
      <c r="D221" s="5" t="s">
        <v>58</v>
      </c>
      <c r="E221" s="6" t="s">
        <v>18</v>
      </c>
      <c r="F221" s="9">
        <v>20</v>
      </c>
      <c r="G221" s="9">
        <v>1</v>
      </c>
      <c r="H221" s="6" t="s">
        <v>27</v>
      </c>
      <c r="I221" s="6" t="s">
        <v>20</v>
      </c>
      <c r="J221" s="6" t="s">
        <v>28</v>
      </c>
      <c r="K221" s="6" t="s">
        <v>29</v>
      </c>
      <c r="L221" s="54" t="s">
        <v>23</v>
      </c>
      <c r="M221" s="55">
        <v>450</v>
      </c>
      <c r="N221" s="54" t="s">
        <v>24</v>
      </c>
      <c r="O221" s="54">
        <v>1</v>
      </c>
    </row>
    <row r="222" spans="1:15" hidden="1" x14ac:dyDescent="0.25">
      <c r="A222" s="4">
        <v>10592</v>
      </c>
      <c r="B222" s="5" t="s">
        <v>64</v>
      </c>
      <c r="C222" s="5" t="s">
        <v>57</v>
      </c>
      <c r="D222" s="5" t="s">
        <v>58</v>
      </c>
      <c r="E222" s="6" t="s">
        <v>18</v>
      </c>
      <c r="F222" s="9">
        <v>20</v>
      </c>
      <c r="G222" s="9">
        <v>1</v>
      </c>
      <c r="H222" s="6" t="s">
        <v>19</v>
      </c>
      <c r="I222" s="6" t="s">
        <v>20</v>
      </c>
      <c r="J222" s="6" t="s">
        <v>28</v>
      </c>
      <c r="K222" s="6" t="s">
        <v>29</v>
      </c>
      <c r="L222" s="54" t="s">
        <v>23</v>
      </c>
      <c r="M222" s="55">
        <v>12.5</v>
      </c>
      <c r="N222" s="54" t="s">
        <v>24</v>
      </c>
      <c r="O222" s="54">
        <v>1</v>
      </c>
    </row>
    <row r="223" spans="1:15" hidden="1" x14ac:dyDescent="0.25">
      <c r="A223" s="6">
        <v>10599</v>
      </c>
      <c r="B223" s="6" t="s">
        <v>51</v>
      </c>
      <c r="C223" s="5" t="s">
        <v>47</v>
      </c>
      <c r="D223" s="5" t="s">
        <v>52</v>
      </c>
      <c r="E223" s="6" t="s">
        <v>18</v>
      </c>
      <c r="F223" s="9">
        <v>15</v>
      </c>
      <c r="G223" s="9">
        <v>45</v>
      </c>
      <c r="H223" s="6" t="s">
        <v>27</v>
      </c>
      <c r="I223" s="6" t="s">
        <v>20</v>
      </c>
      <c r="J223" s="6" t="s">
        <v>28</v>
      </c>
      <c r="K223" s="6" t="s">
        <v>29</v>
      </c>
      <c r="L223" s="54" t="s">
        <v>23</v>
      </c>
      <c r="M223" s="55">
        <v>305</v>
      </c>
      <c r="N223" s="54" t="s">
        <v>24</v>
      </c>
      <c r="O223" s="54">
        <v>1</v>
      </c>
    </row>
    <row r="224" spans="1:15" hidden="1" x14ac:dyDescent="0.25">
      <c r="A224" s="6">
        <v>10602</v>
      </c>
      <c r="B224" s="6" t="s">
        <v>94</v>
      </c>
      <c r="C224" s="6" t="s">
        <v>90</v>
      </c>
      <c r="D224" s="6" t="s">
        <v>91</v>
      </c>
      <c r="E224" s="6" t="s">
        <v>18</v>
      </c>
      <c r="F224" s="7">
        <v>10</v>
      </c>
      <c r="G224" s="7">
        <v>1</v>
      </c>
      <c r="H224" s="8" t="s">
        <v>27</v>
      </c>
      <c r="I224" s="6" t="s">
        <v>30</v>
      </c>
      <c r="J224" s="6" t="s">
        <v>31</v>
      </c>
      <c r="K224" s="6" t="s">
        <v>32</v>
      </c>
      <c r="L224" s="54" t="s">
        <v>23</v>
      </c>
      <c r="M224" s="55">
        <v>65</v>
      </c>
      <c r="N224" s="54" t="s">
        <v>24</v>
      </c>
      <c r="O224" s="54">
        <v>1</v>
      </c>
    </row>
    <row r="225" spans="1:15" hidden="1" x14ac:dyDescent="0.25">
      <c r="A225" s="6">
        <v>10602</v>
      </c>
      <c r="B225" s="6" t="s">
        <v>94</v>
      </c>
      <c r="C225" s="6" t="s">
        <v>90</v>
      </c>
      <c r="D225" s="6" t="s">
        <v>91</v>
      </c>
      <c r="E225" s="6" t="s">
        <v>18</v>
      </c>
      <c r="F225" s="7">
        <v>10</v>
      </c>
      <c r="G225" s="7">
        <v>1</v>
      </c>
      <c r="H225" s="8" t="s">
        <v>19</v>
      </c>
      <c r="I225" s="8" t="s">
        <v>20</v>
      </c>
      <c r="J225" s="8" t="s">
        <v>28</v>
      </c>
      <c r="K225" s="6" t="s">
        <v>61</v>
      </c>
      <c r="L225" s="54" t="s">
        <v>23</v>
      </c>
      <c r="M225" s="55">
        <v>20</v>
      </c>
      <c r="N225" s="54" t="s">
        <v>24</v>
      </c>
      <c r="O225" s="54">
        <v>1</v>
      </c>
    </row>
    <row r="226" spans="1:15" hidden="1" x14ac:dyDescent="0.25">
      <c r="A226" s="6">
        <v>10602</v>
      </c>
      <c r="B226" s="6" t="s">
        <v>94</v>
      </c>
      <c r="C226" s="6" t="s">
        <v>90</v>
      </c>
      <c r="D226" s="6" t="s">
        <v>91</v>
      </c>
      <c r="E226" s="6" t="s">
        <v>18</v>
      </c>
      <c r="F226" s="7">
        <v>10</v>
      </c>
      <c r="G226" s="7">
        <v>1</v>
      </c>
      <c r="H226" s="8" t="s">
        <v>19</v>
      </c>
      <c r="I226" s="6" t="s">
        <v>30</v>
      </c>
      <c r="J226" s="6" t="s">
        <v>31</v>
      </c>
      <c r="K226" s="6" t="s">
        <v>32</v>
      </c>
      <c r="L226" s="54" t="s">
        <v>23</v>
      </c>
      <c r="M226" s="55">
        <v>12</v>
      </c>
      <c r="N226" s="54" t="s">
        <v>24</v>
      </c>
      <c r="O226" s="54">
        <v>1</v>
      </c>
    </row>
    <row r="227" spans="1:15" hidden="1" x14ac:dyDescent="0.25">
      <c r="A227" s="4">
        <v>10604</v>
      </c>
      <c r="B227" s="5" t="s">
        <v>53</v>
      </c>
      <c r="C227" s="5" t="s">
        <v>47</v>
      </c>
      <c r="D227" s="5" t="s">
        <v>54</v>
      </c>
      <c r="E227" s="6" t="s">
        <v>18</v>
      </c>
      <c r="F227" s="9">
        <v>16</v>
      </c>
      <c r="G227" s="9">
        <v>95</v>
      </c>
      <c r="H227" s="6" t="s">
        <v>27</v>
      </c>
      <c r="I227" s="6" t="s">
        <v>20</v>
      </c>
      <c r="J227" s="6" t="s">
        <v>28</v>
      </c>
      <c r="K227" s="6" t="s">
        <v>29</v>
      </c>
      <c r="L227" s="54" t="s">
        <v>23</v>
      </c>
      <c r="M227" s="55">
        <v>420</v>
      </c>
      <c r="N227" s="54" t="s">
        <v>24</v>
      </c>
      <c r="O227" s="54">
        <v>1</v>
      </c>
    </row>
    <row r="228" spans="1:15" hidden="1" x14ac:dyDescent="0.25">
      <c r="A228" s="4">
        <v>10604</v>
      </c>
      <c r="B228" s="5" t="s">
        <v>53</v>
      </c>
      <c r="C228" s="5" t="s">
        <v>47</v>
      </c>
      <c r="D228" s="5" t="s">
        <v>54</v>
      </c>
      <c r="E228" s="6" t="s">
        <v>18</v>
      </c>
      <c r="F228" s="9">
        <v>16</v>
      </c>
      <c r="G228" s="9">
        <v>95</v>
      </c>
      <c r="H228" s="6" t="s">
        <v>19</v>
      </c>
      <c r="I228" s="6" t="s">
        <v>20</v>
      </c>
      <c r="J228" s="6" t="s">
        <v>28</v>
      </c>
      <c r="K228" s="6" t="s">
        <v>29</v>
      </c>
      <c r="L228" s="54" t="s">
        <v>23</v>
      </c>
      <c r="M228" s="55">
        <v>26</v>
      </c>
      <c r="N228" s="54" t="s">
        <v>24</v>
      </c>
      <c r="O228" s="54">
        <v>1</v>
      </c>
    </row>
    <row r="229" spans="1:15" hidden="1" x14ac:dyDescent="0.25">
      <c r="A229" s="4">
        <v>10604</v>
      </c>
      <c r="B229" s="5" t="s">
        <v>53</v>
      </c>
      <c r="C229" s="5" t="s">
        <v>47</v>
      </c>
      <c r="D229" s="5" t="s">
        <v>54</v>
      </c>
      <c r="E229" s="6" t="s">
        <v>18</v>
      </c>
      <c r="F229" s="9">
        <v>16</v>
      </c>
      <c r="G229" s="9">
        <v>95</v>
      </c>
      <c r="H229" s="6" t="s">
        <v>19</v>
      </c>
      <c r="I229" s="6" t="s">
        <v>30</v>
      </c>
      <c r="J229" s="6" t="s">
        <v>31</v>
      </c>
      <c r="K229" s="6" t="s">
        <v>32</v>
      </c>
      <c r="L229" s="54" t="s">
        <v>23</v>
      </c>
      <c r="M229" s="55">
        <v>4</v>
      </c>
      <c r="N229" s="54" t="s">
        <v>24</v>
      </c>
      <c r="O229" s="54">
        <v>1</v>
      </c>
    </row>
    <row r="230" spans="1:15" hidden="1" x14ac:dyDescent="0.25">
      <c r="A230" s="4">
        <v>10605</v>
      </c>
      <c r="B230" s="5" t="s">
        <v>55</v>
      </c>
      <c r="C230" s="5" t="s">
        <v>47</v>
      </c>
      <c r="D230" s="5" t="s">
        <v>54</v>
      </c>
      <c r="E230" s="6" t="s">
        <v>18</v>
      </c>
      <c r="F230" s="7">
        <v>12</v>
      </c>
      <c r="G230" s="7">
        <v>40</v>
      </c>
      <c r="H230" s="6" t="s">
        <v>27</v>
      </c>
      <c r="I230" s="6" t="s">
        <v>20</v>
      </c>
      <c r="J230" s="6" t="s">
        <v>28</v>
      </c>
      <c r="K230" s="6" t="s">
        <v>29</v>
      </c>
      <c r="L230" s="54" t="s">
        <v>23</v>
      </c>
      <c r="M230" s="55">
        <v>217</v>
      </c>
      <c r="N230" s="54" t="s">
        <v>24</v>
      </c>
      <c r="O230" s="54">
        <v>1</v>
      </c>
    </row>
    <row r="231" spans="1:15" hidden="1" x14ac:dyDescent="0.25">
      <c r="A231" s="4">
        <v>10605</v>
      </c>
      <c r="B231" s="5" t="s">
        <v>55</v>
      </c>
      <c r="C231" s="5" t="s">
        <v>47</v>
      </c>
      <c r="D231" s="5" t="s">
        <v>54</v>
      </c>
      <c r="E231" s="6" t="s">
        <v>18</v>
      </c>
      <c r="F231" s="7">
        <v>12</v>
      </c>
      <c r="G231" s="7">
        <v>40</v>
      </c>
      <c r="H231" s="6" t="s">
        <v>19</v>
      </c>
      <c r="I231" s="6" t="s">
        <v>20</v>
      </c>
      <c r="J231" s="6" t="s">
        <v>28</v>
      </c>
      <c r="K231" s="6" t="s">
        <v>29</v>
      </c>
      <c r="L231" s="54" t="s">
        <v>23</v>
      </c>
      <c r="M231" s="55">
        <v>56</v>
      </c>
      <c r="N231" s="54" t="s">
        <v>24</v>
      </c>
      <c r="O231" s="54">
        <v>1</v>
      </c>
    </row>
    <row r="232" spans="1:15" hidden="1" x14ac:dyDescent="0.25">
      <c r="A232" s="4">
        <v>10605</v>
      </c>
      <c r="B232" s="5" t="s">
        <v>55</v>
      </c>
      <c r="C232" s="5" t="s">
        <v>47</v>
      </c>
      <c r="D232" s="5" t="s">
        <v>54</v>
      </c>
      <c r="E232" s="6" t="s">
        <v>18</v>
      </c>
      <c r="F232" s="7">
        <v>12</v>
      </c>
      <c r="G232" s="7">
        <v>40</v>
      </c>
      <c r="H232" s="6" t="s">
        <v>19</v>
      </c>
      <c r="I232" s="6" t="s">
        <v>30</v>
      </c>
      <c r="J232" s="6" t="s">
        <v>31</v>
      </c>
      <c r="K232" s="6" t="s">
        <v>32</v>
      </c>
      <c r="L232" s="54" t="s">
        <v>23</v>
      </c>
      <c r="M232" s="55">
        <v>8</v>
      </c>
      <c r="N232" s="54" t="s">
        <v>24</v>
      </c>
      <c r="O232" s="54">
        <v>1</v>
      </c>
    </row>
    <row r="233" spans="1:15" hidden="1" x14ac:dyDescent="0.25">
      <c r="A233" s="4" t="s">
        <v>86</v>
      </c>
      <c r="B233" s="5" t="s">
        <v>87</v>
      </c>
      <c r="C233" s="6" t="s">
        <v>82</v>
      </c>
      <c r="D233" s="5" t="s">
        <v>83</v>
      </c>
      <c r="E233" s="6" t="s">
        <v>18</v>
      </c>
      <c r="F233" s="9">
        <v>24</v>
      </c>
      <c r="G233" s="9">
        <v>78</v>
      </c>
      <c r="H233" s="6" t="s">
        <v>27</v>
      </c>
      <c r="I233" s="6" t="s">
        <v>20</v>
      </c>
      <c r="J233" s="6" t="s">
        <v>28</v>
      </c>
      <c r="K233" s="6" t="s">
        <v>88</v>
      </c>
      <c r="L233" s="54" t="s">
        <v>23</v>
      </c>
      <c r="M233" s="55">
        <v>75.5</v>
      </c>
      <c r="N233" s="54" t="s">
        <v>24</v>
      </c>
      <c r="O233" s="54">
        <v>1</v>
      </c>
    </row>
    <row r="234" spans="1:15" hidden="1" x14ac:dyDescent="0.25">
      <c r="A234" s="4" t="s">
        <v>86</v>
      </c>
      <c r="B234" s="5" t="s">
        <v>87</v>
      </c>
      <c r="C234" s="6" t="s">
        <v>82</v>
      </c>
      <c r="D234" s="5" t="s">
        <v>83</v>
      </c>
      <c r="E234" s="6" t="s">
        <v>18</v>
      </c>
      <c r="F234" s="9">
        <v>24</v>
      </c>
      <c r="G234" s="9">
        <v>78</v>
      </c>
      <c r="H234" s="6" t="s">
        <v>19</v>
      </c>
      <c r="I234" s="6" t="s">
        <v>25</v>
      </c>
      <c r="J234" s="6" t="s">
        <v>25</v>
      </c>
      <c r="K234" s="6" t="s">
        <v>26</v>
      </c>
      <c r="L234" s="54" t="s">
        <v>23</v>
      </c>
      <c r="M234" s="55">
        <v>47.6</v>
      </c>
      <c r="N234" s="54" t="s">
        <v>24</v>
      </c>
      <c r="O234" s="54">
        <v>1</v>
      </c>
    </row>
    <row r="235" spans="1:15" hidden="1" x14ac:dyDescent="0.25">
      <c r="A235" s="4" t="s">
        <v>86</v>
      </c>
      <c r="B235" s="5" t="s">
        <v>87</v>
      </c>
      <c r="C235" s="6" t="s">
        <v>82</v>
      </c>
      <c r="D235" s="5" t="s">
        <v>83</v>
      </c>
      <c r="E235" s="6" t="s">
        <v>18</v>
      </c>
      <c r="F235" s="9">
        <v>24</v>
      </c>
      <c r="G235" s="9">
        <v>78</v>
      </c>
      <c r="H235" s="6" t="s">
        <v>27</v>
      </c>
      <c r="I235" s="6" t="s">
        <v>30</v>
      </c>
      <c r="J235" s="6" t="s">
        <v>31</v>
      </c>
      <c r="K235" s="6" t="s">
        <v>32</v>
      </c>
      <c r="L235" s="54" t="s">
        <v>23</v>
      </c>
      <c r="M235" s="55">
        <v>29.35</v>
      </c>
      <c r="N235" s="54" t="s">
        <v>24</v>
      </c>
      <c r="O235" s="54">
        <v>1</v>
      </c>
    </row>
    <row r="236" spans="1:15" hidden="1" x14ac:dyDescent="0.25">
      <c r="A236" s="4" t="s">
        <v>86</v>
      </c>
      <c r="B236" s="5" t="s">
        <v>87</v>
      </c>
      <c r="C236" s="6" t="s">
        <v>82</v>
      </c>
      <c r="D236" s="5" t="s">
        <v>83</v>
      </c>
      <c r="E236" s="6" t="s">
        <v>18</v>
      </c>
      <c r="F236" s="9">
        <v>24</v>
      </c>
      <c r="G236" s="9">
        <v>78</v>
      </c>
      <c r="H236" s="6" t="s">
        <v>19</v>
      </c>
      <c r="I236" s="6" t="s">
        <v>20</v>
      </c>
      <c r="J236" s="6" t="s">
        <v>21</v>
      </c>
      <c r="K236" s="6" t="s">
        <v>22</v>
      </c>
      <c r="L236" s="54" t="s">
        <v>23</v>
      </c>
      <c r="M236" s="55">
        <v>2.8</v>
      </c>
      <c r="N236" s="54" t="s">
        <v>24</v>
      </c>
      <c r="O236" s="54">
        <v>1</v>
      </c>
    </row>
    <row r="238" spans="1:15" x14ac:dyDescent="0.25">
      <c r="A238">
        <f>COUNT(A2:A236)</f>
        <v>231</v>
      </c>
    </row>
    <row r="239" spans="1:15" x14ac:dyDescent="0.25">
      <c r="A239" cm="1">
        <f t="array" ref="A239:A319">_xlfn.UNIQUE(A2:A236)</f>
        <v>1090</v>
      </c>
    </row>
    <row r="240" spans="1:15" x14ac:dyDescent="0.25">
      <c r="A240">
        <v>1155</v>
      </c>
    </row>
    <row r="241" spans="1:1" x14ac:dyDescent="0.25">
      <c r="A241">
        <v>1160</v>
      </c>
    </row>
    <row r="242" spans="1:1" x14ac:dyDescent="0.25">
      <c r="A242">
        <v>1165</v>
      </c>
    </row>
    <row r="243" spans="1:1" x14ac:dyDescent="0.25">
      <c r="A243">
        <v>1250</v>
      </c>
    </row>
    <row r="244" spans="1:1" x14ac:dyDescent="0.25">
      <c r="A244">
        <v>1280</v>
      </c>
    </row>
    <row r="245" spans="1:1" x14ac:dyDescent="0.25">
      <c r="A245">
        <v>1300</v>
      </c>
    </row>
    <row r="246" spans="1:1" x14ac:dyDescent="0.25">
      <c r="A246">
        <v>2075</v>
      </c>
    </row>
    <row r="247" spans="1:1" x14ac:dyDescent="0.25">
      <c r="A247">
        <v>2255</v>
      </c>
    </row>
    <row r="248" spans="1:1" x14ac:dyDescent="0.25">
      <c r="A248">
        <v>2260</v>
      </c>
    </row>
    <row r="249" spans="1:1" x14ac:dyDescent="0.25">
      <c r="A249">
        <v>2305</v>
      </c>
    </row>
    <row r="250" spans="1:1" x14ac:dyDescent="0.25">
      <c r="A250">
        <v>2310</v>
      </c>
    </row>
    <row r="251" spans="1:1" x14ac:dyDescent="0.25">
      <c r="A251">
        <v>2385</v>
      </c>
    </row>
    <row r="252" spans="1:1" x14ac:dyDescent="0.25">
      <c r="A252">
        <v>2395</v>
      </c>
    </row>
    <row r="253" spans="1:1" x14ac:dyDescent="0.25">
      <c r="A253">
        <v>2400</v>
      </c>
    </row>
    <row r="254" spans="1:1" x14ac:dyDescent="0.25">
      <c r="A254">
        <v>2410</v>
      </c>
    </row>
    <row r="255" spans="1:1" x14ac:dyDescent="0.25">
      <c r="A255">
        <v>2415</v>
      </c>
    </row>
    <row r="256" spans="1:1" x14ac:dyDescent="0.25">
      <c r="A256">
        <v>2420</v>
      </c>
    </row>
    <row r="257" spans="1:1" x14ac:dyDescent="0.25">
      <c r="A257">
        <v>2460</v>
      </c>
    </row>
    <row r="258" spans="1:1" x14ac:dyDescent="0.25">
      <c r="A258">
        <v>2465</v>
      </c>
    </row>
    <row r="259" spans="1:1" x14ac:dyDescent="0.25">
      <c r="A259">
        <v>2470</v>
      </c>
    </row>
    <row r="260" spans="1:1" x14ac:dyDescent="0.25">
      <c r="A260">
        <v>2475</v>
      </c>
    </row>
    <row r="261" spans="1:1" x14ac:dyDescent="0.25">
      <c r="A261">
        <v>2480</v>
      </c>
    </row>
    <row r="262" spans="1:1" x14ac:dyDescent="0.25">
      <c r="A262">
        <v>2485</v>
      </c>
    </row>
    <row r="263" spans="1:1" x14ac:dyDescent="0.25">
      <c r="A263">
        <v>2515</v>
      </c>
    </row>
    <row r="264" spans="1:1" x14ac:dyDescent="0.25">
      <c r="A264">
        <v>2520</v>
      </c>
    </row>
    <row r="265" spans="1:1" x14ac:dyDescent="0.25">
      <c r="A265">
        <v>2525</v>
      </c>
    </row>
    <row r="266" spans="1:1" x14ac:dyDescent="0.25">
      <c r="A266">
        <v>2530</v>
      </c>
    </row>
    <row r="267" spans="1:1" x14ac:dyDescent="0.25">
      <c r="A267">
        <v>2535</v>
      </c>
    </row>
    <row r="268" spans="1:1" x14ac:dyDescent="0.25">
      <c r="A268">
        <v>5245</v>
      </c>
    </row>
    <row r="269" spans="1:1" x14ac:dyDescent="0.25">
      <c r="A269">
        <v>5250</v>
      </c>
    </row>
    <row r="270" spans="1:1" x14ac:dyDescent="0.25">
      <c r="A270">
        <v>5930</v>
      </c>
    </row>
    <row r="271" spans="1:1" x14ac:dyDescent="0.25">
      <c r="A271">
        <v>5955</v>
      </c>
    </row>
    <row r="272" spans="1:1" x14ac:dyDescent="0.25">
      <c r="A272">
        <v>10026</v>
      </c>
    </row>
    <row r="273" spans="1:1" x14ac:dyDescent="0.25">
      <c r="A273">
        <v>10027</v>
      </c>
    </row>
    <row r="274" spans="1:1" x14ac:dyDescent="0.25">
      <c r="A274">
        <v>10028</v>
      </c>
    </row>
    <row r="275" spans="1:1" x14ac:dyDescent="0.25">
      <c r="A275">
        <v>10037</v>
      </c>
    </row>
    <row r="276" spans="1:1" x14ac:dyDescent="0.25">
      <c r="A276">
        <v>10038</v>
      </c>
    </row>
    <row r="277" spans="1:1" x14ac:dyDescent="0.25">
      <c r="A277">
        <v>10039</v>
      </c>
    </row>
    <row r="278" spans="1:1" x14ac:dyDescent="0.25">
      <c r="A278">
        <v>10050</v>
      </c>
    </row>
    <row r="279" spans="1:1" x14ac:dyDescent="0.25">
      <c r="A279">
        <v>10051</v>
      </c>
    </row>
    <row r="280" spans="1:1" x14ac:dyDescent="0.25">
      <c r="A280">
        <v>10052</v>
      </c>
    </row>
    <row r="281" spans="1:1" x14ac:dyDescent="0.25">
      <c r="A281">
        <v>10096</v>
      </c>
    </row>
    <row r="282" spans="1:1" x14ac:dyDescent="0.25">
      <c r="A282">
        <v>10105</v>
      </c>
    </row>
    <row r="283" spans="1:1" x14ac:dyDescent="0.25">
      <c r="A283">
        <v>10118</v>
      </c>
    </row>
    <row r="284" spans="1:1" x14ac:dyDescent="0.25">
      <c r="A284">
        <v>10148</v>
      </c>
    </row>
    <row r="285" spans="1:1" x14ac:dyDescent="0.25">
      <c r="A285">
        <v>10165</v>
      </c>
    </row>
    <row r="286" spans="1:1" x14ac:dyDescent="0.25">
      <c r="A286">
        <v>10175</v>
      </c>
    </row>
    <row r="287" spans="1:1" x14ac:dyDescent="0.25">
      <c r="A287">
        <v>10176</v>
      </c>
    </row>
    <row r="288" spans="1:1" x14ac:dyDescent="0.25">
      <c r="A288">
        <v>10177</v>
      </c>
    </row>
    <row r="289" spans="1:1" x14ac:dyDescent="0.25">
      <c r="A289">
        <v>10231</v>
      </c>
    </row>
    <row r="290" spans="1:1" x14ac:dyDescent="0.25">
      <c r="A290">
        <v>10232</v>
      </c>
    </row>
    <row r="291" spans="1:1" x14ac:dyDescent="0.25">
      <c r="A291">
        <v>10376</v>
      </c>
    </row>
    <row r="292" spans="1:1" x14ac:dyDescent="0.25">
      <c r="A292">
        <v>10377</v>
      </c>
    </row>
    <row r="293" spans="1:1" x14ac:dyDescent="0.25">
      <c r="A293">
        <v>10378</v>
      </c>
    </row>
    <row r="294" spans="1:1" x14ac:dyDescent="0.25">
      <c r="A294">
        <v>10379</v>
      </c>
    </row>
    <row r="295" spans="1:1" x14ac:dyDescent="0.25">
      <c r="A295">
        <v>10385</v>
      </c>
    </row>
    <row r="296" spans="1:1" x14ac:dyDescent="0.25">
      <c r="A296">
        <v>10407</v>
      </c>
    </row>
    <row r="297" spans="1:1" x14ac:dyDescent="0.25">
      <c r="A297">
        <v>10418</v>
      </c>
    </row>
    <row r="298" spans="1:1" x14ac:dyDescent="0.25">
      <c r="A298">
        <v>10427</v>
      </c>
    </row>
    <row r="299" spans="1:1" x14ac:dyDescent="0.25">
      <c r="A299">
        <v>10428</v>
      </c>
    </row>
    <row r="300" spans="1:1" x14ac:dyDescent="0.25">
      <c r="A300">
        <v>10457</v>
      </c>
    </row>
    <row r="301" spans="1:1" x14ac:dyDescent="0.25">
      <c r="A301">
        <v>10484</v>
      </c>
    </row>
    <row r="302" spans="1:1" x14ac:dyDescent="0.25">
      <c r="A302">
        <v>10487</v>
      </c>
    </row>
    <row r="303" spans="1:1" x14ac:dyDescent="0.25">
      <c r="A303">
        <v>10488</v>
      </c>
    </row>
    <row r="304" spans="1:1" x14ac:dyDescent="0.25">
      <c r="A304">
        <v>10489</v>
      </c>
    </row>
    <row r="305" spans="1:1" x14ac:dyDescent="0.25">
      <c r="A305">
        <v>10513</v>
      </c>
    </row>
    <row r="306" spans="1:1" x14ac:dyDescent="0.25">
      <c r="A306">
        <v>10519</v>
      </c>
    </row>
    <row r="307" spans="1:1" x14ac:dyDescent="0.25">
      <c r="A307">
        <v>10520</v>
      </c>
    </row>
    <row r="308" spans="1:1" x14ac:dyDescent="0.25">
      <c r="A308">
        <v>10524</v>
      </c>
    </row>
    <row r="309" spans="1:1" x14ac:dyDescent="0.25">
      <c r="A309">
        <v>10546</v>
      </c>
    </row>
    <row r="310" spans="1:1" x14ac:dyDescent="0.25">
      <c r="A310">
        <v>10547</v>
      </c>
    </row>
    <row r="311" spans="1:1" x14ac:dyDescent="0.25">
      <c r="A311">
        <v>10555</v>
      </c>
    </row>
    <row r="312" spans="1:1" x14ac:dyDescent="0.25">
      <c r="A312">
        <v>10588</v>
      </c>
    </row>
    <row r="313" spans="1:1" x14ac:dyDescent="0.25">
      <c r="A313">
        <v>10589</v>
      </c>
    </row>
    <row r="314" spans="1:1" x14ac:dyDescent="0.25">
      <c r="A314">
        <v>10592</v>
      </c>
    </row>
    <row r="315" spans="1:1" x14ac:dyDescent="0.25">
      <c r="A315">
        <v>10599</v>
      </c>
    </row>
    <row r="316" spans="1:1" x14ac:dyDescent="0.25">
      <c r="A316">
        <v>10602</v>
      </c>
    </row>
    <row r="317" spans="1:1" x14ac:dyDescent="0.25">
      <c r="A317">
        <v>10604</v>
      </c>
    </row>
    <row r="318" spans="1:1" x14ac:dyDescent="0.25">
      <c r="A318">
        <v>10605</v>
      </c>
    </row>
    <row r="319" spans="1:1" x14ac:dyDescent="0.25">
      <c r="A319" t="str">
        <v>1190/1180</v>
      </c>
    </row>
  </sheetData>
  <autoFilter ref="A1:O236" xr:uid="{F42C9342-FE40-40FB-8C8B-9D8F8B797216}">
    <filterColumn colId="1">
      <filters>
        <filter val="Beans 420g"/>
        <filter val="Red Kidney Beans 400g"/>
      </filters>
    </filterColumn>
    <filterColumn colId="2">
      <filters>
        <filter val="CANNED VEG"/>
      </filters>
    </filterColumn>
    <sortState xmlns:xlrd2="http://schemas.microsoft.com/office/spreadsheetml/2017/richdata2" ref="A2:O236">
      <sortCondition ref="A1:A236"/>
    </sortState>
  </autoFilter>
  <sortState xmlns:xlrd2="http://schemas.microsoft.com/office/spreadsheetml/2017/richdata2" ref="A2:O236">
    <sortCondition ref="A2:A23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891E-6579-4CC5-990C-B8AC334BA56F}">
  <sheetPr filterMode="1"/>
  <dimension ref="A1:P236"/>
  <sheetViews>
    <sheetView tabSelected="1" zoomScale="190" zoomScaleNormal="190" workbookViewId="0">
      <pane ySplit="1" topLeftCell="A126" activePane="bottomLeft" state="frozen"/>
      <selection pane="bottomLeft" activeCell="J131" sqref="J131"/>
    </sheetView>
  </sheetViews>
  <sheetFormatPr defaultColWidth="9.5703125" defaultRowHeight="15" x14ac:dyDescent="0.25"/>
  <cols>
    <col min="1" max="1" width="13.85546875" bestFit="1" customWidth="1"/>
    <col min="2" max="2" width="48.28515625" bestFit="1" customWidth="1"/>
    <col min="3" max="3" width="13" bestFit="1" customWidth="1"/>
    <col min="4" max="4" width="26.7109375" bestFit="1" customWidth="1"/>
    <col min="5" max="5" width="11.7109375" bestFit="1" customWidth="1"/>
    <col min="6" max="6" width="10" bestFit="1" customWidth="1"/>
    <col min="7" max="7" width="10.85546875" bestFit="1" customWidth="1"/>
    <col min="8" max="8" width="10.7109375" bestFit="1" customWidth="1"/>
    <col min="9" max="9" width="10" bestFit="1" customWidth="1"/>
    <col min="10" max="10" width="27.5703125" bestFit="1" customWidth="1"/>
    <col min="11" max="11" width="10.7109375" bestFit="1" customWidth="1"/>
    <col min="12" max="12" width="10.28515625" style="56" bestFit="1" customWidth="1"/>
    <col min="13" max="13" width="9" style="56" bestFit="1" customWidth="1"/>
    <col min="14" max="14" width="10.140625" style="56" bestFit="1" customWidth="1"/>
    <col min="15" max="15" width="11.85546875" style="56" bestFit="1" customWidth="1"/>
  </cols>
  <sheetData>
    <row r="1" spans="1:16" ht="45" x14ac:dyDescent="0.25">
      <c r="A1" s="105" t="s">
        <v>0</v>
      </c>
      <c r="B1" s="37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7" t="s">
        <v>11</v>
      </c>
      <c r="M1" s="53" t="s">
        <v>12</v>
      </c>
      <c r="N1" s="53" t="s">
        <v>13</v>
      </c>
      <c r="O1" s="53" t="s">
        <v>14</v>
      </c>
      <c r="P1" s="53" t="s">
        <v>527</v>
      </c>
    </row>
    <row r="2" spans="1:16" hidden="1" x14ac:dyDescent="0.25">
      <c r="A2" s="4">
        <v>1090</v>
      </c>
      <c r="B2" s="5" t="s">
        <v>15</v>
      </c>
      <c r="C2" s="5" t="s">
        <v>16</v>
      </c>
      <c r="D2" s="5" t="s">
        <v>17</v>
      </c>
      <c r="E2" s="6" t="s">
        <v>18</v>
      </c>
      <c r="F2" s="7">
        <v>12</v>
      </c>
      <c r="G2" s="7">
        <v>176</v>
      </c>
      <c r="H2" s="6" t="s">
        <v>19</v>
      </c>
      <c r="I2" s="6" t="s">
        <v>25</v>
      </c>
      <c r="J2" s="6" t="s">
        <v>25</v>
      </c>
      <c r="K2" s="6" t="s">
        <v>26</v>
      </c>
      <c r="L2" s="54" t="s">
        <v>23</v>
      </c>
      <c r="M2" s="54">
        <v>61</v>
      </c>
      <c r="N2" s="54" t="s">
        <v>24</v>
      </c>
      <c r="O2" s="54">
        <v>1</v>
      </c>
      <c r="P2" t="e">
        <f xml:space="preserve"> LOOKUP(A2,#REF!,#REF!)</f>
        <v>#REF!</v>
      </c>
    </row>
    <row r="3" spans="1:16" hidden="1" x14ac:dyDescent="0.25">
      <c r="A3" s="4">
        <v>1090</v>
      </c>
      <c r="B3" s="5" t="s">
        <v>15</v>
      </c>
      <c r="C3" s="5" t="s">
        <v>16</v>
      </c>
      <c r="D3" s="5" t="s">
        <v>17</v>
      </c>
      <c r="E3" s="6" t="s">
        <v>18</v>
      </c>
      <c r="F3" s="7">
        <v>12</v>
      </c>
      <c r="G3" s="7">
        <v>176</v>
      </c>
      <c r="H3" s="6" t="s">
        <v>27</v>
      </c>
      <c r="I3" s="6" t="s">
        <v>20</v>
      </c>
      <c r="J3" s="6" t="s">
        <v>28</v>
      </c>
      <c r="K3" s="6" t="s">
        <v>29</v>
      </c>
      <c r="L3" s="54" t="s">
        <v>23</v>
      </c>
      <c r="M3" s="54">
        <v>48.8</v>
      </c>
      <c r="N3" s="54" t="s">
        <v>24</v>
      </c>
      <c r="O3" s="54">
        <v>1</v>
      </c>
      <c r="P3" t="e">
        <f xml:space="preserve"> LOOKUP(A3,#REF!,#REF!)</f>
        <v>#REF!</v>
      </c>
    </row>
    <row r="4" spans="1:16" hidden="1" x14ac:dyDescent="0.25">
      <c r="A4" s="4">
        <v>1090</v>
      </c>
      <c r="B4" s="5" t="s">
        <v>15</v>
      </c>
      <c r="C4" s="5" t="s">
        <v>16</v>
      </c>
      <c r="D4" s="5" t="s">
        <v>17</v>
      </c>
      <c r="E4" s="6" t="s">
        <v>18</v>
      </c>
      <c r="F4" s="7">
        <v>12</v>
      </c>
      <c r="G4" s="7">
        <v>176</v>
      </c>
      <c r="H4" s="6" t="s">
        <v>27</v>
      </c>
      <c r="I4" s="6" t="s">
        <v>30</v>
      </c>
      <c r="J4" s="6" t="s">
        <v>31</v>
      </c>
      <c r="K4" s="6" t="s">
        <v>32</v>
      </c>
      <c r="L4" s="54" t="s">
        <v>23</v>
      </c>
      <c r="M4" s="54">
        <v>21.2</v>
      </c>
      <c r="N4" s="54" t="s">
        <v>24</v>
      </c>
      <c r="O4" s="54">
        <v>1</v>
      </c>
      <c r="P4" t="e">
        <f xml:space="preserve"> LOOKUP(A4,#REF!,#REF!)</f>
        <v>#REF!</v>
      </c>
    </row>
    <row r="5" spans="1:16" hidden="1" x14ac:dyDescent="0.25">
      <c r="A5" s="4">
        <v>1090</v>
      </c>
      <c r="B5" s="5" t="s">
        <v>15</v>
      </c>
      <c r="C5" s="5" t="s">
        <v>16</v>
      </c>
      <c r="D5" s="5" t="s">
        <v>17</v>
      </c>
      <c r="E5" s="6" t="s">
        <v>18</v>
      </c>
      <c r="F5" s="7">
        <v>12</v>
      </c>
      <c r="G5" s="7">
        <v>176</v>
      </c>
      <c r="H5" s="6" t="s">
        <v>19</v>
      </c>
      <c r="I5" s="8" t="s">
        <v>20</v>
      </c>
      <c r="J5" s="8" t="s">
        <v>21</v>
      </c>
      <c r="K5" s="6" t="s">
        <v>22</v>
      </c>
      <c r="L5" s="54" t="s">
        <v>23</v>
      </c>
      <c r="M5" s="54">
        <v>1.7</v>
      </c>
      <c r="N5" s="54" t="s">
        <v>24</v>
      </c>
      <c r="O5" s="54">
        <v>1</v>
      </c>
      <c r="P5" t="e">
        <f xml:space="preserve"> LOOKUP(A5,#REF!,#REF!)</f>
        <v>#REF!</v>
      </c>
    </row>
    <row r="6" spans="1:16" hidden="1" x14ac:dyDescent="0.25">
      <c r="A6" s="4">
        <v>1155</v>
      </c>
      <c r="B6" s="5" t="s">
        <v>33</v>
      </c>
      <c r="C6" s="5" t="s">
        <v>16</v>
      </c>
      <c r="D6" s="5" t="s">
        <v>17</v>
      </c>
      <c r="E6" s="6" t="s">
        <v>18</v>
      </c>
      <c r="F6" s="7">
        <v>12</v>
      </c>
      <c r="G6" s="7">
        <v>176</v>
      </c>
      <c r="H6" s="6" t="s">
        <v>19</v>
      </c>
      <c r="I6" s="6" t="s">
        <v>25</v>
      </c>
      <c r="J6" s="6" t="s">
        <v>25</v>
      </c>
      <c r="K6" s="6" t="s">
        <v>26</v>
      </c>
      <c r="L6" s="54" t="s">
        <v>23</v>
      </c>
      <c r="M6" s="54">
        <v>61</v>
      </c>
      <c r="N6" s="54" t="s">
        <v>24</v>
      </c>
      <c r="O6" s="54">
        <v>1</v>
      </c>
      <c r="P6" t="e">
        <f xml:space="preserve"> LOOKUP(A6,#REF!,#REF!)</f>
        <v>#REF!</v>
      </c>
    </row>
    <row r="7" spans="1:16" hidden="1" x14ac:dyDescent="0.25">
      <c r="A7" s="4">
        <v>1155</v>
      </c>
      <c r="B7" s="5" t="s">
        <v>33</v>
      </c>
      <c r="C7" s="5" t="s">
        <v>16</v>
      </c>
      <c r="D7" s="5" t="s">
        <v>17</v>
      </c>
      <c r="E7" s="6" t="s">
        <v>18</v>
      </c>
      <c r="F7" s="7">
        <v>12</v>
      </c>
      <c r="G7" s="7">
        <v>176</v>
      </c>
      <c r="H7" s="6" t="s">
        <v>27</v>
      </c>
      <c r="I7" s="6" t="s">
        <v>20</v>
      </c>
      <c r="J7" s="6" t="s">
        <v>28</v>
      </c>
      <c r="K7" s="6" t="s">
        <v>29</v>
      </c>
      <c r="L7" s="54" t="s">
        <v>23</v>
      </c>
      <c r="M7" s="54">
        <v>48.8</v>
      </c>
      <c r="N7" s="54" t="s">
        <v>24</v>
      </c>
      <c r="O7" s="54">
        <v>1</v>
      </c>
      <c r="P7" t="e">
        <f xml:space="preserve"> LOOKUP(A7,#REF!,#REF!)</f>
        <v>#REF!</v>
      </c>
    </row>
    <row r="8" spans="1:16" hidden="1" x14ac:dyDescent="0.25">
      <c r="A8" s="4">
        <v>1155</v>
      </c>
      <c r="B8" s="5" t="s">
        <v>33</v>
      </c>
      <c r="C8" s="5" t="s">
        <v>16</v>
      </c>
      <c r="D8" s="5" t="s">
        <v>17</v>
      </c>
      <c r="E8" s="6" t="s">
        <v>18</v>
      </c>
      <c r="F8" s="7">
        <v>12</v>
      </c>
      <c r="G8" s="7">
        <v>176</v>
      </c>
      <c r="H8" s="6" t="s">
        <v>27</v>
      </c>
      <c r="I8" s="6" t="s">
        <v>30</v>
      </c>
      <c r="J8" s="6" t="s">
        <v>31</v>
      </c>
      <c r="K8" s="6" t="s">
        <v>32</v>
      </c>
      <c r="L8" s="54" t="s">
        <v>23</v>
      </c>
      <c r="M8" s="54">
        <v>21.2</v>
      </c>
      <c r="N8" s="54" t="s">
        <v>24</v>
      </c>
      <c r="O8" s="54">
        <v>1</v>
      </c>
      <c r="P8" t="e">
        <f xml:space="preserve"> LOOKUP(A8,#REF!,#REF!)</f>
        <v>#REF!</v>
      </c>
    </row>
    <row r="9" spans="1:16" hidden="1" x14ac:dyDescent="0.25">
      <c r="A9" s="4">
        <v>1155</v>
      </c>
      <c r="B9" s="5" t="s">
        <v>33</v>
      </c>
      <c r="C9" s="5" t="s">
        <v>16</v>
      </c>
      <c r="D9" s="5" t="s">
        <v>17</v>
      </c>
      <c r="E9" s="6" t="s">
        <v>18</v>
      </c>
      <c r="F9" s="7">
        <v>12</v>
      </c>
      <c r="G9" s="7">
        <v>176</v>
      </c>
      <c r="H9" s="6" t="s">
        <v>19</v>
      </c>
      <c r="I9" s="8" t="s">
        <v>20</v>
      </c>
      <c r="J9" s="8" t="s">
        <v>21</v>
      </c>
      <c r="K9" s="6" t="s">
        <v>22</v>
      </c>
      <c r="L9" s="54" t="s">
        <v>23</v>
      </c>
      <c r="M9" s="54">
        <v>1.7</v>
      </c>
      <c r="N9" s="54" t="s">
        <v>24</v>
      </c>
      <c r="O9" s="54">
        <v>1</v>
      </c>
      <c r="P9" t="e">
        <f xml:space="preserve"> LOOKUP(A9,#REF!,#REF!)</f>
        <v>#REF!</v>
      </c>
    </row>
    <row r="10" spans="1:16" hidden="1" x14ac:dyDescent="0.25">
      <c r="A10" s="4">
        <v>1160</v>
      </c>
      <c r="B10" s="5" t="s">
        <v>34</v>
      </c>
      <c r="C10" s="5" t="s">
        <v>16</v>
      </c>
      <c r="D10" s="5" t="s">
        <v>17</v>
      </c>
      <c r="E10" s="6" t="s">
        <v>18</v>
      </c>
      <c r="F10" s="7">
        <v>12</v>
      </c>
      <c r="G10" s="7">
        <v>176</v>
      </c>
      <c r="H10" s="6" t="s">
        <v>19</v>
      </c>
      <c r="I10" s="6" t="s">
        <v>25</v>
      </c>
      <c r="J10" s="6" t="s">
        <v>25</v>
      </c>
      <c r="K10" s="6" t="s">
        <v>26</v>
      </c>
      <c r="L10" s="54" t="s">
        <v>23</v>
      </c>
      <c r="M10" s="54">
        <v>61</v>
      </c>
      <c r="N10" s="54" t="s">
        <v>24</v>
      </c>
      <c r="O10" s="54">
        <v>1</v>
      </c>
      <c r="P10" t="e">
        <f xml:space="preserve"> LOOKUP(A10,#REF!,#REF!)</f>
        <v>#REF!</v>
      </c>
    </row>
    <row r="11" spans="1:16" hidden="1" x14ac:dyDescent="0.25">
      <c r="A11" s="4">
        <v>1160</v>
      </c>
      <c r="B11" s="5" t="s">
        <v>34</v>
      </c>
      <c r="C11" s="5" t="s">
        <v>16</v>
      </c>
      <c r="D11" s="5" t="s">
        <v>17</v>
      </c>
      <c r="E11" s="6" t="s">
        <v>18</v>
      </c>
      <c r="F11" s="7">
        <v>12</v>
      </c>
      <c r="G11" s="7">
        <v>176</v>
      </c>
      <c r="H11" s="6" t="s">
        <v>27</v>
      </c>
      <c r="I11" s="6" t="s">
        <v>20</v>
      </c>
      <c r="J11" s="6" t="s">
        <v>28</v>
      </c>
      <c r="K11" s="6" t="s">
        <v>29</v>
      </c>
      <c r="L11" s="54" t="s">
        <v>23</v>
      </c>
      <c r="M11" s="54">
        <v>48.8</v>
      </c>
      <c r="N11" s="54" t="s">
        <v>24</v>
      </c>
      <c r="O11" s="54">
        <v>1</v>
      </c>
      <c r="P11" t="e">
        <f xml:space="preserve"> LOOKUP(A11,#REF!,#REF!)</f>
        <v>#REF!</v>
      </c>
    </row>
    <row r="12" spans="1:16" hidden="1" x14ac:dyDescent="0.25">
      <c r="A12" s="4">
        <v>1160</v>
      </c>
      <c r="B12" s="5" t="s">
        <v>34</v>
      </c>
      <c r="C12" s="5" t="s">
        <v>16</v>
      </c>
      <c r="D12" s="5" t="s">
        <v>17</v>
      </c>
      <c r="E12" s="6" t="s">
        <v>18</v>
      </c>
      <c r="F12" s="7">
        <v>12</v>
      </c>
      <c r="G12" s="7">
        <v>176</v>
      </c>
      <c r="H12" s="6" t="s">
        <v>27</v>
      </c>
      <c r="I12" s="6" t="s">
        <v>30</v>
      </c>
      <c r="J12" s="6" t="s">
        <v>31</v>
      </c>
      <c r="K12" s="6" t="s">
        <v>32</v>
      </c>
      <c r="L12" s="54" t="s">
        <v>23</v>
      </c>
      <c r="M12" s="54">
        <v>21.2</v>
      </c>
      <c r="N12" s="54" t="s">
        <v>24</v>
      </c>
      <c r="O12" s="54">
        <v>1</v>
      </c>
      <c r="P12" t="e">
        <f xml:space="preserve"> LOOKUP(A12,#REF!,#REF!)</f>
        <v>#REF!</v>
      </c>
    </row>
    <row r="13" spans="1:16" hidden="1" x14ac:dyDescent="0.25">
      <c r="A13" s="4">
        <v>1160</v>
      </c>
      <c r="B13" s="5" t="s">
        <v>34</v>
      </c>
      <c r="C13" s="5" t="s">
        <v>16</v>
      </c>
      <c r="D13" s="5" t="s">
        <v>17</v>
      </c>
      <c r="E13" s="6" t="s">
        <v>18</v>
      </c>
      <c r="F13" s="7">
        <v>12</v>
      </c>
      <c r="G13" s="7">
        <v>176</v>
      </c>
      <c r="H13" s="6" t="s">
        <v>19</v>
      </c>
      <c r="I13" s="8" t="s">
        <v>20</v>
      </c>
      <c r="J13" s="8" t="s">
        <v>21</v>
      </c>
      <c r="K13" s="6" t="s">
        <v>22</v>
      </c>
      <c r="L13" s="54" t="s">
        <v>23</v>
      </c>
      <c r="M13" s="54">
        <v>1.7</v>
      </c>
      <c r="N13" s="54" t="s">
        <v>24</v>
      </c>
      <c r="O13" s="54">
        <v>1</v>
      </c>
      <c r="P13" t="e">
        <f xml:space="preserve"> LOOKUP(A13,#REF!,#REF!)</f>
        <v>#REF!</v>
      </c>
    </row>
    <row r="14" spans="1:16" hidden="1" x14ac:dyDescent="0.25">
      <c r="A14" s="4">
        <v>1165</v>
      </c>
      <c r="B14" s="5" t="s">
        <v>35</v>
      </c>
      <c r="C14" s="5" t="s">
        <v>16</v>
      </c>
      <c r="D14" s="5" t="s">
        <v>17</v>
      </c>
      <c r="E14" s="6" t="s">
        <v>18</v>
      </c>
      <c r="F14" s="7">
        <v>12</v>
      </c>
      <c r="G14" s="7">
        <v>176</v>
      </c>
      <c r="H14" s="6" t="s">
        <v>19</v>
      </c>
      <c r="I14" s="6" t="s">
        <v>25</v>
      </c>
      <c r="J14" s="6" t="s">
        <v>25</v>
      </c>
      <c r="K14" s="6" t="s">
        <v>26</v>
      </c>
      <c r="L14" s="54" t="s">
        <v>23</v>
      </c>
      <c r="M14" s="54">
        <v>61</v>
      </c>
      <c r="N14" s="54" t="s">
        <v>24</v>
      </c>
      <c r="O14" s="54">
        <v>1</v>
      </c>
      <c r="P14" t="e">
        <f xml:space="preserve"> LOOKUP(A14,#REF!,#REF!)</f>
        <v>#REF!</v>
      </c>
    </row>
    <row r="15" spans="1:16" hidden="1" x14ac:dyDescent="0.25">
      <c r="A15" s="4">
        <v>1165</v>
      </c>
      <c r="B15" s="5" t="s">
        <v>35</v>
      </c>
      <c r="C15" s="5" t="s">
        <v>16</v>
      </c>
      <c r="D15" s="5" t="s">
        <v>17</v>
      </c>
      <c r="E15" s="6" t="s">
        <v>18</v>
      </c>
      <c r="F15" s="7">
        <v>12</v>
      </c>
      <c r="G15" s="7">
        <v>176</v>
      </c>
      <c r="H15" s="6" t="s">
        <v>27</v>
      </c>
      <c r="I15" s="6" t="s">
        <v>20</v>
      </c>
      <c r="J15" s="6" t="s">
        <v>28</v>
      </c>
      <c r="K15" s="6" t="s">
        <v>29</v>
      </c>
      <c r="L15" s="54" t="s">
        <v>23</v>
      </c>
      <c r="M15" s="54">
        <v>48.8</v>
      </c>
      <c r="N15" s="54" t="s">
        <v>24</v>
      </c>
      <c r="O15" s="54">
        <v>1</v>
      </c>
      <c r="P15" t="e">
        <f xml:space="preserve"> LOOKUP(A15,#REF!,#REF!)</f>
        <v>#REF!</v>
      </c>
    </row>
    <row r="16" spans="1:16" hidden="1" x14ac:dyDescent="0.25">
      <c r="A16" s="4">
        <v>1165</v>
      </c>
      <c r="B16" s="5" t="s">
        <v>35</v>
      </c>
      <c r="C16" s="5" t="s">
        <v>16</v>
      </c>
      <c r="D16" s="5" t="s">
        <v>17</v>
      </c>
      <c r="E16" s="6" t="s">
        <v>18</v>
      </c>
      <c r="F16" s="7">
        <v>12</v>
      </c>
      <c r="G16" s="7">
        <v>176</v>
      </c>
      <c r="H16" s="6" t="s">
        <v>27</v>
      </c>
      <c r="I16" s="6" t="s">
        <v>30</v>
      </c>
      <c r="J16" s="6" t="s">
        <v>31</v>
      </c>
      <c r="K16" s="6" t="s">
        <v>32</v>
      </c>
      <c r="L16" s="54" t="s">
        <v>23</v>
      </c>
      <c r="M16" s="54">
        <v>21.2</v>
      </c>
      <c r="N16" s="54" t="s">
        <v>24</v>
      </c>
      <c r="O16" s="54">
        <v>1</v>
      </c>
      <c r="P16" t="e">
        <f xml:space="preserve"> LOOKUP(A16,#REF!,#REF!)</f>
        <v>#REF!</v>
      </c>
    </row>
    <row r="17" spans="1:16" hidden="1" x14ac:dyDescent="0.25">
      <c r="A17" s="4">
        <v>1165</v>
      </c>
      <c r="B17" s="5" t="s">
        <v>35</v>
      </c>
      <c r="C17" s="5" t="s">
        <v>16</v>
      </c>
      <c r="D17" s="5" t="s">
        <v>17</v>
      </c>
      <c r="E17" s="6" t="s">
        <v>18</v>
      </c>
      <c r="F17" s="7">
        <v>12</v>
      </c>
      <c r="G17" s="7">
        <v>176</v>
      </c>
      <c r="H17" s="6" t="s">
        <v>19</v>
      </c>
      <c r="I17" s="8" t="s">
        <v>20</v>
      </c>
      <c r="J17" s="8" t="s">
        <v>21</v>
      </c>
      <c r="K17" s="6" t="s">
        <v>22</v>
      </c>
      <c r="L17" s="54" t="s">
        <v>23</v>
      </c>
      <c r="M17" s="54">
        <v>1.7</v>
      </c>
      <c r="N17" s="54" t="s">
        <v>24</v>
      </c>
      <c r="O17" s="54">
        <v>1</v>
      </c>
      <c r="P17" t="e">
        <f xml:space="preserve"> LOOKUP(A17,#REF!,#REF!)</f>
        <v>#REF!</v>
      </c>
    </row>
    <row r="18" spans="1:16" hidden="1" x14ac:dyDescent="0.25">
      <c r="A18" s="5">
        <v>1250</v>
      </c>
      <c r="B18" s="5" t="s">
        <v>60</v>
      </c>
      <c r="C18" s="5" t="s">
        <v>57</v>
      </c>
      <c r="D18" s="5" t="s">
        <v>58</v>
      </c>
      <c r="E18" s="6" t="s">
        <v>18</v>
      </c>
      <c r="F18" s="9">
        <v>24</v>
      </c>
      <c r="G18" s="9">
        <v>80</v>
      </c>
      <c r="H18" s="6" t="s">
        <v>27</v>
      </c>
      <c r="I18" s="6" t="s">
        <v>20</v>
      </c>
      <c r="J18" s="6" t="s">
        <v>28</v>
      </c>
      <c r="K18" s="6" t="s">
        <v>29</v>
      </c>
      <c r="L18" s="54" t="s">
        <v>23</v>
      </c>
      <c r="M18" s="54">
        <v>250</v>
      </c>
      <c r="N18" s="54" t="s">
        <v>24</v>
      </c>
      <c r="O18" s="54">
        <v>1</v>
      </c>
      <c r="P18" t="e">
        <f xml:space="preserve"> LOOKUP(A18,#REF!,#REF!)</f>
        <v>#REF!</v>
      </c>
    </row>
    <row r="19" spans="1:16" hidden="1" x14ac:dyDescent="0.25">
      <c r="A19" s="5">
        <v>1250</v>
      </c>
      <c r="B19" s="5" t="s">
        <v>60</v>
      </c>
      <c r="C19" s="5" t="s">
        <v>57</v>
      </c>
      <c r="D19" s="5" t="s">
        <v>58</v>
      </c>
      <c r="E19" s="6" t="s">
        <v>18</v>
      </c>
      <c r="F19" s="9">
        <v>24</v>
      </c>
      <c r="G19" s="9">
        <v>80</v>
      </c>
      <c r="H19" s="6" t="s">
        <v>19</v>
      </c>
      <c r="I19" s="6" t="s">
        <v>20</v>
      </c>
      <c r="J19" s="6" t="s">
        <v>28</v>
      </c>
      <c r="K19" s="6" t="s">
        <v>61</v>
      </c>
      <c r="L19" s="54" t="s">
        <v>23</v>
      </c>
      <c r="M19" s="54">
        <v>37</v>
      </c>
      <c r="N19" s="54" t="s">
        <v>24</v>
      </c>
      <c r="O19" s="54">
        <v>1</v>
      </c>
      <c r="P19" t="e">
        <f xml:space="preserve"> LOOKUP(A19,#REF!,#REF!)</f>
        <v>#REF!</v>
      </c>
    </row>
    <row r="20" spans="1:16" hidden="1" x14ac:dyDescent="0.25">
      <c r="A20" s="5">
        <v>1250</v>
      </c>
      <c r="B20" s="5" t="s">
        <v>60</v>
      </c>
      <c r="C20" s="5" t="s">
        <v>57</v>
      </c>
      <c r="D20" s="5" t="s">
        <v>58</v>
      </c>
      <c r="E20" s="6" t="s">
        <v>18</v>
      </c>
      <c r="F20" s="9">
        <v>24</v>
      </c>
      <c r="G20" s="9">
        <v>80</v>
      </c>
      <c r="H20" s="6" t="s">
        <v>19</v>
      </c>
      <c r="I20" s="6" t="s">
        <v>20</v>
      </c>
      <c r="J20" s="6" t="s">
        <v>28</v>
      </c>
      <c r="K20" s="6" t="s">
        <v>29</v>
      </c>
      <c r="L20" s="54" t="s">
        <v>23</v>
      </c>
      <c r="M20" s="54">
        <v>25</v>
      </c>
      <c r="N20" s="54" t="s">
        <v>24</v>
      </c>
      <c r="O20" s="54">
        <v>1</v>
      </c>
      <c r="P20" t="e">
        <f xml:space="preserve"> LOOKUP(A20,#REF!,#REF!)</f>
        <v>#REF!</v>
      </c>
    </row>
    <row r="21" spans="1:16" hidden="1" x14ac:dyDescent="0.25">
      <c r="A21" s="5">
        <v>1280</v>
      </c>
      <c r="B21" s="5" t="s">
        <v>56</v>
      </c>
      <c r="C21" s="5" t="s">
        <v>57</v>
      </c>
      <c r="D21" s="5" t="s">
        <v>58</v>
      </c>
      <c r="E21" s="6" t="s">
        <v>18</v>
      </c>
      <c r="F21" s="9">
        <v>20</v>
      </c>
      <c r="G21" s="9">
        <v>1</v>
      </c>
      <c r="H21" s="6" t="s">
        <v>27</v>
      </c>
      <c r="I21" s="6" t="s">
        <v>20</v>
      </c>
      <c r="J21" s="6" t="s">
        <v>28</v>
      </c>
      <c r="K21" s="6" t="s">
        <v>29</v>
      </c>
      <c r="L21" s="54" t="s">
        <v>23</v>
      </c>
      <c r="M21" s="54">
        <v>175</v>
      </c>
      <c r="N21" s="54" t="s">
        <v>24</v>
      </c>
      <c r="O21" s="54">
        <v>1</v>
      </c>
      <c r="P21" t="e">
        <f xml:space="preserve"> LOOKUP(A21,#REF!,#REF!)</f>
        <v>#REF!</v>
      </c>
    </row>
    <row r="22" spans="1:16" hidden="1" x14ac:dyDescent="0.25">
      <c r="A22" s="5">
        <v>1280</v>
      </c>
      <c r="B22" s="5" t="s">
        <v>56</v>
      </c>
      <c r="C22" s="5" t="s">
        <v>57</v>
      </c>
      <c r="D22" s="5" t="s">
        <v>58</v>
      </c>
      <c r="E22" s="6" t="s">
        <v>18</v>
      </c>
      <c r="F22" s="9">
        <v>20</v>
      </c>
      <c r="G22" s="9">
        <v>1</v>
      </c>
      <c r="H22" s="6" t="s">
        <v>19</v>
      </c>
      <c r="I22" s="6" t="s">
        <v>30</v>
      </c>
      <c r="J22" s="6" t="s">
        <v>31</v>
      </c>
      <c r="K22" s="6" t="s">
        <v>43</v>
      </c>
      <c r="L22" s="54" t="s">
        <v>23</v>
      </c>
      <c r="M22" s="54">
        <v>16</v>
      </c>
      <c r="N22" s="54" t="s">
        <v>24</v>
      </c>
      <c r="O22" s="54">
        <v>1</v>
      </c>
      <c r="P22" t="e">
        <f xml:space="preserve"> LOOKUP(A22,#REF!,#REF!)</f>
        <v>#REF!</v>
      </c>
    </row>
    <row r="23" spans="1:16" hidden="1" x14ac:dyDescent="0.25">
      <c r="A23" s="4">
        <v>1300</v>
      </c>
      <c r="B23" s="5" t="s">
        <v>59</v>
      </c>
      <c r="C23" s="5" t="s">
        <v>57</v>
      </c>
      <c r="D23" s="5" t="s">
        <v>58</v>
      </c>
      <c r="E23" s="6" t="s">
        <v>18</v>
      </c>
      <c r="F23" s="9">
        <v>40</v>
      </c>
      <c r="G23" s="9">
        <v>1</v>
      </c>
      <c r="H23" s="6" t="s">
        <v>27</v>
      </c>
      <c r="I23" s="6" t="s">
        <v>20</v>
      </c>
      <c r="J23" s="6" t="s">
        <v>28</v>
      </c>
      <c r="K23" s="6" t="s">
        <v>29</v>
      </c>
      <c r="L23" s="54" t="s">
        <v>23</v>
      </c>
      <c r="M23" s="54">
        <v>500</v>
      </c>
      <c r="N23" s="54" t="s">
        <v>24</v>
      </c>
      <c r="O23" s="54">
        <v>1</v>
      </c>
      <c r="P23" t="e">
        <f xml:space="preserve"> LOOKUP(A23,#REF!,#REF!)</f>
        <v>#REF!</v>
      </c>
    </row>
    <row r="24" spans="1:16" hidden="1" x14ac:dyDescent="0.25">
      <c r="A24" s="4">
        <v>1300</v>
      </c>
      <c r="B24" s="5" t="s">
        <v>59</v>
      </c>
      <c r="C24" s="5" t="s">
        <v>57</v>
      </c>
      <c r="D24" s="5" t="s">
        <v>58</v>
      </c>
      <c r="E24" s="6" t="s">
        <v>18</v>
      </c>
      <c r="F24" s="9">
        <v>40</v>
      </c>
      <c r="G24" s="9">
        <v>1</v>
      </c>
      <c r="H24" s="6" t="s">
        <v>19</v>
      </c>
      <c r="I24" s="6" t="s">
        <v>20</v>
      </c>
      <c r="J24" s="6" t="s">
        <v>28</v>
      </c>
      <c r="K24" s="6" t="s">
        <v>29</v>
      </c>
      <c r="L24" s="54" t="s">
        <v>23</v>
      </c>
      <c r="M24" s="54">
        <v>25</v>
      </c>
      <c r="N24" s="54" t="s">
        <v>24</v>
      </c>
      <c r="O24" s="54">
        <v>1</v>
      </c>
      <c r="P24" t="e">
        <f xml:space="preserve"> LOOKUP(A24,#REF!,#REF!)</f>
        <v>#REF!</v>
      </c>
    </row>
    <row r="25" spans="1:16" hidden="1" x14ac:dyDescent="0.25">
      <c r="A25" s="5">
        <v>2075</v>
      </c>
      <c r="B25" s="5" t="s">
        <v>120</v>
      </c>
      <c r="C25" s="5" t="s">
        <v>117</v>
      </c>
      <c r="D25" s="5" t="s">
        <v>104</v>
      </c>
      <c r="E25" s="6" t="s">
        <v>18</v>
      </c>
      <c r="F25" s="10">
        <v>10</v>
      </c>
      <c r="G25" s="10">
        <v>120</v>
      </c>
      <c r="H25" s="6" t="s">
        <v>38</v>
      </c>
      <c r="I25" s="6" t="s">
        <v>121</v>
      </c>
      <c r="J25" s="6" t="s">
        <v>121</v>
      </c>
      <c r="K25" s="6" t="s">
        <v>122</v>
      </c>
      <c r="L25" s="54" t="s">
        <v>23</v>
      </c>
      <c r="M25" s="54">
        <v>16000</v>
      </c>
      <c r="N25" s="54" t="s">
        <v>24</v>
      </c>
      <c r="O25" s="54">
        <v>1</v>
      </c>
      <c r="P25" t="e">
        <f xml:space="preserve"> LOOKUP(A25,#REF!,#REF!)</f>
        <v>#REF!</v>
      </c>
    </row>
    <row r="26" spans="1:16" hidden="1" x14ac:dyDescent="0.25">
      <c r="A26" s="5">
        <v>2075</v>
      </c>
      <c r="B26" s="5" t="s">
        <v>120</v>
      </c>
      <c r="C26" s="5" t="s">
        <v>117</v>
      </c>
      <c r="D26" s="5" t="s">
        <v>104</v>
      </c>
      <c r="E26" s="6" t="s">
        <v>18</v>
      </c>
      <c r="F26" s="10">
        <v>10</v>
      </c>
      <c r="G26" s="10">
        <v>120</v>
      </c>
      <c r="H26" s="8" t="s">
        <v>27</v>
      </c>
      <c r="I26" s="8" t="s">
        <v>20</v>
      </c>
      <c r="J26" s="8" t="s">
        <v>28</v>
      </c>
      <c r="K26" s="6" t="s">
        <v>29</v>
      </c>
      <c r="L26" s="54" t="s">
        <v>23</v>
      </c>
      <c r="M26" s="54">
        <v>250</v>
      </c>
      <c r="N26" s="54" t="s">
        <v>24</v>
      </c>
      <c r="O26" s="54">
        <v>1</v>
      </c>
      <c r="P26" t="e">
        <f xml:space="preserve"> LOOKUP(A26,#REF!,#REF!)</f>
        <v>#REF!</v>
      </c>
    </row>
    <row r="27" spans="1:16" hidden="1" x14ac:dyDescent="0.25">
      <c r="A27" s="5">
        <v>2075</v>
      </c>
      <c r="B27" s="5" t="s">
        <v>120</v>
      </c>
      <c r="C27" s="5" t="s">
        <v>117</v>
      </c>
      <c r="D27" s="5" t="s">
        <v>104</v>
      </c>
      <c r="E27" s="6" t="s">
        <v>18</v>
      </c>
      <c r="F27" s="10">
        <v>10</v>
      </c>
      <c r="G27" s="10">
        <v>120</v>
      </c>
      <c r="H27" s="6" t="s">
        <v>38</v>
      </c>
      <c r="I27" s="6" t="s">
        <v>30</v>
      </c>
      <c r="J27" s="6" t="s">
        <v>31</v>
      </c>
      <c r="K27" s="6" t="s">
        <v>32</v>
      </c>
      <c r="L27" s="54" t="s">
        <v>23</v>
      </c>
      <c r="M27" s="54">
        <v>200</v>
      </c>
      <c r="N27" s="54" t="s">
        <v>24</v>
      </c>
      <c r="O27" s="54">
        <v>1</v>
      </c>
      <c r="P27" t="e">
        <f xml:space="preserve"> LOOKUP(A27,#REF!,#REF!)</f>
        <v>#REF!</v>
      </c>
    </row>
    <row r="28" spans="1:16" hidden="1" x14ac:dyDescent="0.25">
      <c r="A28" s="5">
        <v>2075</v>
      </c>
      <c r="B28" s="5" t="s">
        <v>120</v>
      </c>
      <c r="C28" s="5" t="s">
        <v>117</v>
      </c>
      <c r="D28" s="5" t="s">
        <v>104</v>
      </c>
      <c r="E28" s="6" t="s">
        <v>18</v>
      </c>
      <c r="F28" s="10">
        <v>10</v>
      </c>
      <c r="G28" s="10">
        <v>120</v>
      </c>
      <c r="H28" s="8" t="s">
        <v>19</v>
      </c>
      <c r="I28" s="8" t="s">
        <v>20</v>
      </c>
      <c r="J28" s="8" t="s">
        <v>28</v>
      </c>
      <c r="K28" s="6" t="s">
        <v>29</v>
      </c>
      <c r="L28" s="54" t="s">
        <v>23</v>
      </c>
      <c r="M28" s="54">
        <v>55</v>
      </c>
      <c r="N28" s="54" t="s">
        <v>24</v>
      </c>
      <c r="O28" s="54">
        <v>1</v>
      </c>
      <c r="P28" t="e">
        <f xml:space="preserve"> LOOKUP(A28,#REF!,#REF!)</f>
        <v>#REF!</v>
      </c>
    </row>
    <row r="29" spans="1:16" hidden="1" x14ac:dyDescent="0.25">
      <c r="A29" s="5">
        <v>2255</v>
      </c>
      <c r="B29" s="5" t="s">
        <v>123</v>
      </c>
      <c r="C29" s="5" t="s">
        <v>117</v>
      </c>
      <c r="D29" s="5" t="s">
        <v>124</v>
      </c>
      <c r="E29" s="6" t="s">
        <v>18</v>
      </c>
      <c r="F29" s="10">
        <v>4</v>
      </c>
      <c r="G29" s="10">
        <v>60</v>
      </c>
      <c r="H29" s="8" t="s">
        <v>27</v>
      </c>
      <c r="I29" s="8" t="s">
        <v>20</v>
      </c>
      <c r="J29" s="8" t="s">
        <v>28</v>
      </c>
      <c r="K29" s="6" t="s">
        <v>29</v>
      </c>
      <c r="L29" s="54" t="s">
        <v>23</v>
      </c>
      <c r="M29" s="54">
        <v>330</v>
      </c>
      <c r="N29" s="54" t="s">
        <v>24</v>
      </c>
      <c r="O29" s="54">
        <v>1</v>
      </c>
      <c r="P29" t="e">
        <f xml:space="preserve"> LOOKUP(A29,#REF!,#REF!)</f>
        <v>#REF!</v>
      </c>
    </row>
    <row r="30" spans="1:16" hidden="1" x14ac:dyDescent="0.25">
      <c r="A30" s="5">
        <v>2255</v>
      </c>
      <c r="B30" s="5" t="s">
        <v>123</v>
      </c>
      <c r="C30" s="5" t="s">
        <v>117</v>
      </c>
      <c r="D30" s="5" t="s">
        <v>124</v>
      </c>
      <c r="E30" s="6" t="s">
        <v>18</v>
      </c>
      <c r="F30" s="10">
        <v>4</v>
      </c>
      <c r="G30" s="10">
        <v>60</v>
      </c>
      <c r="H30" s="8" t="s">
        <v>19</v>
      </c>
      <c r="I30" s="8" t="s">
        <v>20</v>
      </c>
      <c r="J30" s="8" t="s">
        <v>28</v>
      </c>
      <c r="K30" s="6" t="s">
        <v>29</v>
      </c>
      <c r="L30" s="54" t="s">
        <v>23</v>
      </c>
      <c r="M30" s="54">
        <v>2.1</v>
      </c>
      <c r="N30" s="54" t="s">
        <v>24</v>
      </c>
      <c r="O30" s="54">
        <v>1</v>
      </c>
      <c r="P30" t="e">
        <f xml:space="preserve"> LOOKUP(A30,#REF!,#REF!)</f>
        <v>#REF!</v>
      </c>
    </row>
    <row r="31" spans="1:16" hidden="1" x14ac:dyDescent="0.25">
      <c r="A31" s="5">
        <v>2260</v>
      </c>
      <c r="B31" s="5" t="s">
        <v>125</v>
      </c>
      <c r="C31" s="5" t="s">
        <v>117</v>
      </c>
      <c r="D31" s="5" t="s">
        <v>104</v>
      </c>
      <c r="E31" s="6" t="s">
        <v>18</v>
      </c>
      <c r="F31" s="10">
        <v>10</v>
      </c>
      <c r="G31" s="10">
        <v>120</v>
      </c>
      <c r="H31" s="6" t="s">
        <v>38</v>
      </c>
      <c r="I31" s="6" t="s">
        <v>121</v>
      </c>
      <c r="J31" s="6" t="s">
        <v>121</v>
      </c>
      <c r="K31" s="6" t="s">
        <v>122</v>
      </c>
      <c r="L31" s="54" t="s">
        <v>23</v>
      </c>
      <c r="M31" s="54">
        <v>16000</v>
      </c>
      <c r="N31" s="54" t="s">
        <v>24</v>
      </c>
      <c r="O31" s="54">
        <v>1</v>
      </c>
      <c r="P31" t="e">
        <f xml:space="preserve"> LOOKUP(A31,#REF!,#REF!)</f>
        <v>#REF!</v>
      </c>
    </row>
    <row r="32" spans="1:16" hidden="1" x14ac:dyDescent="0.25">
      <c r="A32" s="5">
        <v>2260</v>
      </c>
      <c r="B32" s="5" t="s">
        <v>125</v>
      </c>
      <c r="C32" s="5" t="s">
        <v>117</v>
      </c>
      <c r="D32" s="5" t="s">
        <v>104</v>
      </c>
      <c r="E32" s="6" t="s">
        <v>18</v>
      </c>
      <c r="F32" s="10">
        <v>10</v>
      </c>
      <c r="G32" s="10">
        <v>120</v>
      </c>
      <c r="H32" s="8" t="s">
        <v>27</v>
      </c>
      <c r="I32" s="8" t="s">
        <v>20</v>
      </c>
      <c r="J32" s="8" t="s">
        <v>28</v>
      </c>
      <c r="K32" s="6" t="s">
        <v>29</v>
      </c>
      <c r="L32" s="54" t="s">
        <v>23</v>
      </c>
      <c r="M32" s="54">
        <v>250</v>
      </c>
      <c r="N32" s="54" t="s">
        <v>24</v>
      </c>
      <c r="O32" s="54">
        <v>1</v>
      </c>
      <c r="P32" t="e">
        <f xml:space="preserve"> LOOKUP(A32,#REF!,#REF!)</f>
        <v>#REF!</v>
      </c>
    </row>
    <row r="33" spans="1:16" hidden="1" x14ac:dyDescent="0.25">
      <c r="A33" s="5">
        <v>2260</v>
      </c>
      <c r="B33" s="5" t="s">
        <v>125</v>
      </c>
      <c r="C33" s="5" t="s">
        <v>117</v>
      </c>
      <c r="D33" s="5" t="s">
        <v>104</v>
      </c>
      <c r="E33" s="6" t="s">
        <v>18</v>
      </c>
      <c r="F33" s="10">
        <v>10</v>
      </c>
      <c r="G33" s="10">
        <v>120</v>
      </c>
      <c r="H33" s="6" t="s">
        <v>38</v>
      </c>
      <c r="I33" s="6" t="s">
        <v>30</v>
      </c>
      <c r="J33" s="6" t="s">
        <v>31</v>
      </c>
      <c r="K33" s="6" t="s">
        <v>32</v>
      </c>
      <c r="L33" s="54" t="s">
        <v>23</v>
      </c>
      <c r="M33" s="54">
        <v>200</v>
      </c>
      <c r="N33" s="54" t="s">
        <v>24</v>
      </c>
      <c r="O33" s="54">
        <v>1</v>
      </c>
      <c r="P33" t="e">
        <f xml:space="preserve"> LOOKUP(A33,#REF!,#REF!)</f>
        <v>#REF!</v>
      </c>
    </row>
    <row r="34" spans="1:16" hidden="1" x14ac:dyDescent="0.25">
      <c r="A34" s="5">
        <v>2260</v>
      </c>
      <c r="B34" s="5" t="s">
        <v>125</v>
      </c>
      <c r="C34" s="5" t="s">
        <v>117</v>
      </c>
      <c r="D34" s="5" t="s">
        <v>104</v>
      </c>
      <c r="E34" s="6" t="s">
        <v>18</v>
      </c>
      <c r="F34" s="10">
        <v>10</v>
      </c>
      <c r="G34" s="10">
        <v>120</v>
      </c>
      <c r="H34" s="8" t="s">
        <v>19</v>
      </c>
      <c r="I34" s="8" t="s">
        <v>20</v>
      </c>
      <c r="J34" s="8" t="s">
        <v>28</v>
      </c>
      <c r="K34" s="6" t="s">
        <v>29</v>
      </c>
      <c r="L34" s="54" t="s">
        <v>23</v>
      </c>
      <c r="M34" s="54">
        <v>55</v>
      </c>
      <c r="N34" s="54" t="s">
        <v>24</v>
      </c>
      <c r="O34" s="54">
        <v>1</v>
      </c>
      <c r="P34" t="e">
        <f xml:space="preserve"> LOOKUP(A34,#REF!,#REF!)</f>
        <v>#REF!</v>
      </c>
    </row>
    <row r="35" spans="1:16" hidden="1" x14ac:dyDescent="0.25">
      <c r="A35" s="5">
        <v>2305</v>
      </c>
      <c r="B35" s="5" t="s">
        <v>126</v>
      </c>
      <c r="C35" s="5" t="s">
        <v>117</v>
      </c>
      <c r="D35" s="5" t="s">
        <v>104</v>
      </c>
      <c r="E35" s="6" t="s">
        <v>18</v>
      </c>
      <c r="F35" s="10">
        <v>10</v>
      </c>
      <c r="G35" s="10">
        <v>120</v>
      </c>
      <c r="H35" s="6" t="s">
        <v>38</v>
      </c>
      <c r="I35" s="6" t="s">
        <v>121</v>
      </c>
      <c r="J35" s="6" t="s">
        <v>121</v>
      </c>
      <c r="K35" s="6" t="s">
        <v>122</v>
      </c>
      <c r="L35" s="54" t="s">
        <v>23</v>
      </c>
      <c r="M35" s="54">
        <v>16000</v>
      </c>
      <c r="N35" s="54" t="s">
        <v>24</v>
      </c>
      <c r="O35" s="54">
        <v>1</v>
      </c>
      <c r="P35" t="e">
        <f xml:space="preserve"> LOOKUP(A35,#REF!,#REF!)</f>
        <v>#REF!</v>
      </c>
    </row>
    <row r="36" spans="1:16" hidden="1" x14ac:dyDescent="0.25">
      <c r="A36" s="5">
        <v>2305</v>
      </c>
      <c r="B36" s="5" t="s">
        <v>126</v>
      </c>
      <c r="C36" s="5" t="s">
        <v>117</v>
      </c>
      <c r="D36" s="5" t="s">
        <v>104</v>
      </c>
      <c r="E36" s="6" t="s">
        <v>18</v>
      </c>
      <c r="F36" s="10">
        <v>10</v>
      </c>
      <c r="G36" s="10">
        <v>120</v>
      </c>
      <c r="H36" s="8" t="s">
        <v>27</v>
      </c>
      <c r="I36" s="8" t="s">
        <v>20</v>
      </c>
      <c r="J36" s="8" t="s">
        <v>28</v>
      </c>
      <c r="K36" s="6" t="s">
        <v>29</v>
      </c>
      <c r="L36" s="54" t="s">
        <v>23</v>
      </c>
      <c r="M36" s="54">
        <v>250</v>
      </c>
      <c r="N36" s="54" t="s">
        <v>24</v>
      </c>
      <c r="O36" s="54">
        <v>1</v>
      </c>
      <c r="P36" t="e">
        <f xml:space="preserve"> LOOKUP(A36,#REF!,#REF!)</f>
        <v>#REF!</v>
      </c>
    </row>
    <row r="37" spans="1:16" hidden="1" x14ac:dyDescent="0.25">
      <c r="A37" s="5">
        <v>2305</v>
      </c>
      <c r="B37" s="5" t="s">
        <v>126</v>
      </c>
      <c r="C37" s="5" t="s">
        <v>117</v>
      </c>
      <c r="D37" s="5" t="s">
        <v>104</v>
      </c>
      <c r="E37" s="6" t="s">
        <v>18</v>
      </c>
      <c r="F37" s="10">
        <v>10</v>
      </c>
      <c r="G37" s="10">
        <v>120</v>
      </c>
      <c r="H37" s="6" t="s">
        <v>38</v>
      </c>
      <c r="I37" s="6" t="s">
        <v>30</v>
      </c>
      <c r="J37" s="6" t="s">
        <v>31</v>
      </c>
      <c r="K37" s="6" t="s">
        <v>32</v>
      </c>
      <c r="L37" s="54" t="s">
        <v>23</v>
      </c>
      <c r="M37" s="54">
        <v>200</v>
      </c>
      <c r="N37" s="54" t="s">
        <v>24</v>
      </c>
      <c r="O37" s="54">
        <v>1</v>
      </c>
      <c r="P37" t="e">
        <f xml:space="preserve"> LOOKUP(A37,#REF!,#REF!)</f>
        <v>#REF!</v>
      </c>
    </row>
    <row r="38" spans="1:16" hidden="1" x14ac:dyDescent="0.25">
      <c r="A38" s="5">
        <v>2305</v>
      </c>
      <c r="B38" s="5" t="s">
        <v>126</v>
      </c>
      <c r="C38" s="5" t="s">
        <v>117</v>
      </c>
      <c r="D38" s="5" t="s">
        <v>104</v>
      </c>
      <c r="E38" s="6" t="s">
        <v>18</v>
      </c>
      <c r="F38" s="10">
        <v>10</v>
      </c>
      <c r="G38" s="10">
        <v>120</v>
      </c>
      <c r="H38" s="8" t="s">
        <v>19</v>
      </c>
      <c r="I38" s="8" t="s">
        <v>20</v>
      </c>
      <c r="J38" s="8" t="s">
        <v>28</v>
      </c>
      <c r="K38" s="6" t="s">
        <v>29</v>
      </c>
      <c r="L38" s="54" t="s">
        <v>23</v>
      </c>
      <c r="M38" s="54">
        <v>55</v>
      </c>
      <c r="N38" s="54" t="s">
        <v>24</v>
      </c>
      <c r="O38" s="54">
        <v>1</v>
      </c>
      <c r="P38" t="e">
        <f xml:space="preserve"> LOOKUP(A38,#REF!,#REF!)</f>
        <v>#REF!</v>
      </c>
    </row>
    <row r="39" spans="1:16" hidden="1" x14ac:dyDescent="0.25">
      <c r="A39" s="5">
        <v>2310</v>
      </c>
      <c r="B39" s="5" t="s">
        <v>127</v>
      </c>
      <c r="C39" s="5" t="s">
        <v>117</v>
      </c>
      <c r="D39" s="5" t="s">
        <v>104</v>
      </c>
      <c r="E39" s="6" t="s">
        <v>18</v>
      </c>
      <c r="F39" s="10">
        <v>10</v>
      </c>
      <c r="G39" s="10">
        <v>120</v>
      </c>
      <c r="H39" s="6" t="s">
        <v>38</v>
      </c>
      <c r="I39" s="6" t="s">
        <v>121</v>
      </c>
      <c r="J39" s="6" t="s">
        <v>121</v>
      </c>
      <c r="K39" s="6" t="s">
        <v>122</v>
      </c>
      <c r="L39" s="54" t="s">
        <v>23</v>
      </c>
      <c r="M39" s="54">
        <v>16000</v>
      </c>
      <c r="N39" s="54" t="s">
        <v>24</v>
      </c>
      <c r="O39" s="54">
        <v>1</v>
      </c>
      <c r="P39" t="e">
        <f xml:space="preserve"> LOOKUP(A39,#REF!,#REF!)</f>
        <v>#REF!</v>
      </c>
    </row>
    <row r="40" spans="1:16" hidden="1" x14ac:dyDescent="0.25">
      <c r="A40" s="5">
        <v>2310</v>
      </c>
      <c r="B40" s="5" t="s">
        <v>127</v>
      </c>
      <c r="C40" s="5" t="s">
        <v>117</v>
      </c>
      <c r="D40" s="5" t="s">
        <v>104</v>
      </c>
      <c r="E40" s="6" t="s">
        <v>18</v>
      </c>
      <c r="F40" s="10">
        <v>10</v>
      </c>
      <c r="G40" s="10">
        <v>120</v>
      </c>
      <c r="H40" s="8" t="s">
        <v>27</v>
      </c>
      <c r="I40" s="8" t="s">
        <v>20</v>
      </c>
      <c r="J40" s="8" t="s">
        <v>28</v>
      </c>
      <c r="K40" s="6" t="s">
        <v>29</v>
      </c>
      <c r="L40" s="54" t="s">
        <v>23</v>
      </c>
      <c r="M40" s="54">
        <v>250</v>
      </c>
      <c r="N40" s="54" t="s">
        <v>24</v>
      </c>
      <c r="O40" s="54">
        <v>1</v>
      </c>
      <c r="P40" t="e">
        <f xml:space="preserve"> LOOKUP(A40,#REF!,#REF!)</f>
        <v>#REF!</v>
      </c>
    </row>
    <row r="41" spans="1:16" hidden="1" x14ac:dyDescent="0.25">
      <c r="A41" s="5">
        <v>2310</v>
      </c>
      <c r="B41" s="5" t="s">
        <v>127</v>
      </c>
      <c r="C41" s="5" t="s">
        <v>117</v>
      </c>
      <c r="D41" s="5" t="s">
        <v>104</v>
      </c>
      <c r="E41" s="6" t="s">
        <v>18</v>
      </c>
      <c r="F41" s="10">
        <v>10</v>
      </c>
      <c r="G41" s="10">
        <v>120</v>
      </c>
      <c r="H41" s="6" t="s">
        <v>38</v>
      </c>
      <c r="I41" s="6" t="s">
        <v>30</v>
      </c>
      <c r="J41" s="6" t="s">
        <v>31</v>
      </c>
      <c r="K41" s="6" t="s">
        <v>32</v>
      </c>
      <c r="L41" s="54" t="s">
        <v>23</v>
      </c>
      <c r="M41" s="54">
        <v>200</v>
      </c>
      <c r="N41" s="54" t="s">
        <v>24</v>
      </c>
      <c r="O41" s="54">
        <v>1</v>
      </c>
      <c r="P41" t="e">
        <f xml:space="preserve"> LOOKUP(A41,#REF!,#REF!)</f>
        <v>#REF!</v>
      </c>
    </row>
    <row r="42" spans="1:16" hidden="1" x14ac:dyDescent="0.25">
      <c r="A42" s="5">
        <v>2310</v>
      </c>
      <c r="B42" s="5" t="s">
        <v>127</v>
      </c>
      <c r="C42" s="5" t="s">
        <v>117</v>
      </c>
      <c r="D42" s="5" t="s">
        <v>104</v>
      </c>
      <c r="E42" s="6" t="s">
        <v>18</v>
      </c>
      <c r="F42" s="10">
        <v>10</v>
      </c>
      <c r="G42" s="10">
        <v>120</v>
      </c>
      <c r="H42" s="8" t="s">
        <v>19</v>
      </c>
      <c r="I42" s="8" t="s">
        <v>20</v>
      </c>
      <c r="J42" s="8" t="s">
        <v>28</v>
      </c>
      <c r="K42" s="6" t="s">
        <v>29</v>
      </c>
      <c r="L42" s="54" t="s">
        <v>23</v>
      </c>
      <c r="M42" s="54">
        <v>55</v>
      </c>
      <c r="N42" s="54" t="s">
        <v>24</v>
      </c>
      <c r="O42" s="54">
        <v>1</v>
      </c>
      <c r="P42" t="e">
        <f xml:space="preserve"> LOOKUP(A42,#REF!,#REF!)</f>
        <v>#REF!</v>
      </c>
    </row>
    <row r="43" spans="1:16" hidden="1" x14ac:dyDescent="0.25">
      <c r="A43" s="5">
        <v>2385</v>
      </c>
      <c r="B43" s="5" t="s">
        <v>128</v>
      </c>
      <c r="C43" s="5" t="s">
        <v>117</v>
      </c>
      <c r="D43" s="5" t="s">
        <v>104</v>
      </c>
      <c r="E43" s="6" t="s">
        <v>18</v>
      </c>
      <c r="F43" s="10">
        <v>10</v>
      </c>
      <c r="G43" s="10">
        <v>120</v>
      </c>
      <c r="H43" s="6" t="s">
        <v>38</v>
      </c>
      <c r="I43" s="6" t="s">
        <v>121</v>
      </c>
      <c r="J43" s="6" t="s">
        <v>121</v>
      </c>
      <c r="K43" s="6" t="s">
        <v>122</v>
      </c>
      <c r="L43" s="54" t="s">
        <v>23</v>
      </c>
      <c r="M43" s="54">
        <v>16000</v>
      </c>
      <c r="N43" s="54" t="s">
        <v>24</v>
      </c>
      <c r="O43" s="54">
        <v>1</v>
      </c>
      <c r="P43" t="e">
        <f xml:space="preserve"> LOOKUP(A43,#REF!,#REF!)</f>
        <v>#REF!</v>
      </c>
    </row>
    <row r="44" spans="1:16" hidden="1" x14ac:dyDescent="0.25">
      <c r="A44" s="5">
        <v>2385</v>
      </c>
      <c r="B44" s="5" t="s">
        <v>128</v>
      </c>
      <c r="C44" s="5" t="s">
        <v>117</v>
      </c>
      <c r="D44" s="5" t="s">
        <v>104</v>
      </c>
      <c r="E44" s="6" t="s">
        <v>18</v>
      </c>
      <c r="F44" s="10">
        <v>10</v>
      </c>
      <c r="G44" s="10">
        <v>120</v>
      </c>
      <c r="H44" s="8" t="s">
        <v>27</v>
      </c>
      <c r="I44" s="8" t="s">
        <v>20</v>
      </c>
      <c r="J44" s="8" t="s">
        <v>28</v>
      </c>
      <c r="K44" s="6" t="s">
        <v>29</v>
      </c>
      <c r="L44" s="54" t="s">
        <v>23</v>
      </c>
      <c r="M44" s="54">
        <v>250</v>
      </c>
      <c r="N44" s="54" t="s">
        <v>24</v>
      </c>
      <c r="O44" s="54">
        <v>1</v>
      </c>
      <c r="P44" t="e">
        <f xml:space="preserve"> LOOKUP(A44,#REF!,#REF!)</f>
        <v>#REF!</v>
      </c>
    </row>
    <row r="45" spans="1:16" hidden="1" x14ac:dyDescent="0.25">
      <c r="A45" s="5">
        <v>2385</v>
      </c>
      <c r="B45" s="5" t="s">
        <v>128</v>
      </c>
      <c r="C45" s="5" t="s">
        <v>117</v>
      </c>
      <c r="D45" s="5" t="s">
        <v>104</v>
      </c>
      <c r="E45" s="6" t="s">
        <v>18</v>
      </c>
      <c r="F45" s="10">
        <v>10</v>
      </c>
      <c r="G45" s="10">
        <v>120</v>
      </c>
      <c r="H45" s="6" t="s">
        <v>38</v>
      </c>
      <c r="I45" s="6" t="s">
        <v>30</v>
      </c>
      <c r="J45" s="6" t="s">
        <v>31</v>
      </c>
      <c r="K45" s="6" t="s">
        <v>32</v>
      </c>
      <c r="L45" s="54" t="s">
        <v>23</v>
      </c>
      <c r="M45" s="54">
        <v>200</v>
      </c>
      <c r="N45" s="54" t="s">
        <v>24</v>
      </c>
      <c r="O45" s="54">
        <v>1</v>
      </c>
      <c r="P45" t="e">
        <f xml:space="preserve"> LOOKUP(A45,#REF!,#REF!)</f>
        <v>#REF!</v>
      </c>
    </row>
    <row r="46" spans="1:16" hidden="1" x14ac:dyDescent="0.25">
      <c r="A46" s="5">
        <v>2385</v>
      </c>
      <c r="B46" s="5" t="s">
        <v>128</v>
      </c>
      <c r="C46" s="5" t="s">
        <v>117</v>
      </c>
      <c r="D46" s="5" t="s">
        <v>104</v>
      </c>
      <c r="E46" s="6" t="s">
        <v>18</v>
      </c>
      <c r="F46" s="10">
        <v>10</v>
      </c>
      <c r="G46" s="10">
        <v>120</v>
      </c>
      <c r="H46" s="8" t="s">
        <v>19</v>
      </c>
      <c r="I46" s="8" t="s">
        <v>20</v>
      </c>
      <c r="J46" s="8" t="s">
        <v>28</v>
      </c>
      <c r="K46" s="6" t="s">
        <v>29</v>
      </c>
      <c r="L46" s="54" t="s">
        <v>23</v>
      </c>
      <c r="M46" s="54">
        <v>55</v>
      </c>
      <c r="N46" s="54" t="s">
        <v>24</v>
      </c>
      <c r="O46" s="54">
        <v>1</v>
      </c>
      <c r="P46" t="e">
        <f xml:space="preserve"> LOOKUP(A46,#REF!,#REF!)</f>
        <v>#REF!</v>
      </c>
    </row>
    <row r="47" spans="1:16" hidden="1" x14ac:dyDescent="0.25">
      <c r="A47" s="5">
        <v>2395</v>
      </c>
      <c r="B47" s="5" t="s">
        <v>129</v>
      </c>
      <c r="C47" s="5" t="s">
        <v>117</v>
      </c>
      <c r="D47" s="5" t="s">
        <v>104</v>
      </c>
      <c r="E47" s="6" t="s">
        <v>18</v>
      </c>
      <c r="F47" s="10">
        <v>10</v>
      </c>
      <c r="G47" s="10">
        <v>120</v>
      </c>
      <c r="H47" s="6" t="s">
        <v>38</v>
      </c>
      <c r="I47" s="6" t="s">
        <v>121</v>
      </c>
      <c r="J47" s="6" t="s">
        <v>121</v>
      </c>
      <c r="K47" s="6" t="s">
        <v>122</v>
      </c>
      <c r="L47" s="54" t="s">
        <v>23</v>
      </c>
      <c r="M47" s="54">
        <v>16000</v>
      </c>
      <c r="N47" s="54" t="s">
        <v>24</v>
      </c>
      <c r="O47" s="54">
        <v>1</v>
      </c>
      <c r="P47" t="e">
        <f xml:space="preserve"> LOOKUP(A47,#REF!,#REF!)</f>
        <v>#REF!</v>
      </c>
    </row>
    <row r="48" spans="1:16" hidden="1" x14ac:dyDescent="0.25">
      <c r="A48" s="5">
        <v>2395</v>
      </c>
      <c r="B48" s="5" t="s">
        <v>129</v>
      </c>
      <c r="C48" s="5" t="s">
        <v>117</v>
      </c>
      <c r="D48" s="5" t="s">
        <v>104</v>
      </c>
      <c r="E48" s="6" t="s">
        <v>18</v>
      </c>
      <c r="F48" s="10">
        <v>10</v>
      </c>
      <c r="G48" s="10">
        <v>120</v>
      </c>
      <c r="H48" s="8" t="s">
        <v>27</v>
      </c>
      <c r="I48" s="8" t="s">
        <v>20</v>
      </c>
      <c r="J48" s="8" t="s">
        <v>28</v>
      </c>
      <c r="K48" s="6" t="s">
        <v>29</v>
      </c>
      <c r="L48" s="54" t="s">
        <v>23</v>
      </c>
      <c r="M48" s="54">
        <v>250</v>
      </c>
      <c r="N48" s="54" t="s">
        <v>24</v>
      </c>
      <c r="O48" s="54">
        <v>1</v>
      </c>
      <c r="P48" t="e">
        <f xml:space="preserve"> LOOKUP(A48,#REF!,#REF!)</f>
        <v>#REF!</v>
      </c>
    </row>
    <row r="49" spans="1:16" hidden="1" x14ac:dyDescent="0.25">
      <c r="A49" s="5">
        <v>2395</v>
      </c>
      <c r="B49" s="5" t="s">
        <v>129</v>
      </c>
      <c r="C49" s="5" t="s">
        <v>117</v>
      </c>
      <c r="D49" s="5" t="s">
        <v>104</v>
      </c>
      <c r="E49" s="6" t="s">
        <v>18</v>
      </c>
      <c r="F49" s="10">
        <v>10</v>
      </c>
      <c r="G49" s="10">
        <v>120</v>
      </c>
      <c r="H49" s="6" t="s">
        <v>38</v>
      </c>
      <c r="I49" s="6" t="s">
        <v>30</v>
      </c>
      <c r="J49" s="6" t="s">
        <v>31</v>
      </c>
      <c r="K49" s="6" t="s">
        <v>32</v>
      </c>
      <c r="L49" s="54" t="s">
        <v>23</v>
      </c>
      <c r="M49" s="54">
        <v>200</v>
      </c>
      <c r="N49" s="54" t="s">
        <v>24</v>
      </c>
      <c r="O49" s="54">
        <v>1</v>
      </c>
      <c r="P49" t="e">
        <f xml:space="preserve"> LOOKUP(A49,#REF!,#REF!)</f>
        <v>#REF!</v>
      </c>
    </row>
    <row r="50" spans="1:16" hidden="1" x14ac:dyDescent="0.25">
      <c r="A50" s="5">
        <v>2395</v>
      </c>
      <c r="B50" s="5" t="s">
        <v>129</v>
      </c>
      <c r="C50" s="5" t="s">
        <v>117</v>
      </c>
      <c r="D50" s="5" t="s">
        <v>104</v>
      </c>
      <c r="E50" s="6" t="s">
        <v>18</v>
      </c>
      <c r="F50" s="10">
        <v>10</v>
      </c>
      <c r="G50" s="10">
        <v>120</v>
      </c>
      <c r="H50" s="8" t="s">
        <v>19</v>
      </c>
      <c r="I50" s="8" t="s">
        <v>20</v>
      </c>
      <c r="J50" s="8" t="s">
        <v>28</v>
      </c>
      <c r="K50" s="6" t="s">
        <v>29</v>
      </c>
      <c r="L50" s="54" t="s">
        <v>23</v>
      </c>
      <c r="M50" s="54">
        <v>55</v>
      </c>
      <c r="N50" s="54" t="s">
        <v>24</v>
      </c>
      <c r="O50" s="54">
        <v>1</v>
      </c>
      <c r="P50" t="e">
        <f xml:space="preserve"> LOOKUP(A50,#REF!,#REF!)</f>
        <v>#REF!</v>
      </c>
    </row>
    <row r="51" spans="1:16" hidden="1" x14ac:dyDescent="0.25">
      <c r="A51" s="5">
        <v>2400</v>
      </c>
      <c r="B51" s="5" t="s">
        <v>130</v>
      </c>
      <c r="C51" s="5" t="s">
        <v>117</v>
      </c>
      <c r="D51" s="5" t="s">
        <v>104</v>
      </c>
      <c r="E51" s="6" t="s">
        <v>18</v>
      </c>
      <c r="F51" s="10">
        <v>10</v>
      </c>
      <c r="G51" s="10">
        <v>120</v>
      </c>
      <c r="H51" s="6" t="s">
        <v>38</v>
      </c>
      <c r="I51" s="6" t="s">
        <v>121</v>
      </c>
      <c r="J51" s="6" t="s">
        <v>121</v>
      </c>
      <c r="K51" s="6" t="s">
        <v>122</v>
      </c>
      <c r="L51" s="54" t="s">
        <v>23</v>
      </c>
      <c r="M51" s="54">
        <v>16000</v>
      </c>
      <c r="N51" s="54" t="s">
        <v>24</v>
      </c>
      <c r="O51" s="54">
        <v>1</v>
      </c>
      <c r="P51" t="e">
        <f xml:space="preserve"> LOOKUP(A51,#REF!,#REF!)</f>
        <v>#REF!</v>
      </c>
    </row>
    <row r="52" spans="1:16" hidden="1" x14ac:dyDescent="0.25">
      <c r="A52" s="5">
        <v>2400</v>
      </c>
      <c r="B52" s="5" t="s">
        <v>130</v>
      </c>
      <c r="C52" s="5" t="s">
        <v>117</v>
      </c>
      <c r="D52" s="5" t="s">
        <v>104</v>
      </c>
      <c r="E52" s="6" t="s">
        <v>18</v>
      </c>
      <c r="F52" s="10">
        <v>10</v>
      </c>
      <c r="G52" s="10">
        <v>120</v>
      </c>
      <c r="H52" s="8" t="s">
        <v>27</v>
      </c>
      <c r="I52" s="8" t="s">
        <v>20</v>
      </c>
      <c r="J52" s="8" t="s">
        <v>28</v>
      </c>
      <c r="K52" s="6" t="s">
        <v>29</v>
      </c>
      <c r="L52" s="54" t="s">
        <v>23</v>
      </c>
      <c r="M52" s="54">
        <v>250</v>
      </c>
      <c r="N52" s="54" t="s">
        <v>24</v>
      </c>
      <c r="O52" s="54">
        <v>1</v>
      </c>
      <c r="P52" t="e">
        <f xml:space="preserve"> LOOKUP(A52,#REF!,#REF!)</f>
        <v>#REF!</v>
      </c>
    </row>
    <row r="53" spans="1:16" hidden="1" x14ac:dyDescent="0.25">
      <c r="A53" s="5">
        <v>2400</v>
      </c>
      <c r="B53" s="5" t="s">
        <v>130</v>
      </c>
      <c r="C53" s="5" t="s">
        <v>117</v>
      </c>
      <c r="D53" s="5" t="s">
        <v>104</v>
      </c>
      <c r="E53" s="6" t="s">
        <v>18</v>
      </c>
      <c r="F53" s="10">
        <v>10</v>
      </c>
      <c r="G53" s="10">
        <v>120</v>
      </c>
      <c r="H53" s="6" t="s">
        <v>38</v>
      </c>
      <c r="I53" s="6" t="s">
        <v>30</v>
      </c>
      <c r="J53" s="6" t="s">
        <v>31</v>
      </c>
      <c r="K53" s="6" t="s">
        <v>32</v>
      </c>
      <c r="L53" s="54" t="s">
        <v>23</v>
      </c>
      <c r="M53" s="54">
        <v>200</v>
      </c>
      <c r="N53" s="54" t="s">
        <v>24</v>
      </c>
      <c r="O53" s="54">
        <v>1</v>
      </c>
      <c r="P53" t="e">
        <f xml:space="preserve"> LOOKUP(A53,#REF!,#REF!)</f>
        <v>#REF!</v>
      </c>
    </row>
    <row r="54" spans="1:16" hidden="1" x14ac:dyDescent="0.25">
      <c r="A54" s="5">
        <v>2400</v>
      </c>
      <c r="B54" s="5" t="s">
        <v>130</v>
      </c>
      <c r="C54" s="5" t="s">
        <v>117</v>
      </c>
      <c r="D54" s="5" t="s">
        <v>104</v>
      </c>
      <c r="E54" s="6" t="s">
        <v>18</v>
      </c>
      <c r="F54" s="10">
        <v>10</v>
      </c>
      <c r="G54" s="10">
        <v>120</v>
      </c>
      <c r="H54" s="8" t="s">
        <v>19</v>
      </c>
      <c r="I54" s="8" t="s">
        <v>20</v>
      </c>
      <c r="J54" s="8" t="s">
        <v>28</v>
      </c>
      <c r="K54" s="6" t="s">
        <v>29</v>
      </c>
      <c r="L54" s="54" t="s">
        <v>23</v>
      </c>
      <c r="M54" s="54">
        <v>55</v>
      </c>
      <c r="N54" s="54" t="s">
        <v>24</v>
      </c>
      <c r="O54" s="54">
        <v>1</v>
      </c>
      <c r="P54" t="e">
        <f xml:space="preserve"> LOOKUP(A54,#REF!,#REF!)</f>
        <v>#REF!</v>
      </c>
    </row>
    <row r="55" spans="1:16" hidden="1" x14ac:dyDescent="0.25">
      <c r="A55" s="5">
        <v>2410</v>
      </c>
      <c r="B55" s="5" t="s">
        <v>131</v>
      </c>
      <c r="C55" s="5" t="s">
        <v>117</v>
      </c>
      <c r="D55" s="5" t="s">
        <v>104</v>
      </c>
      <c r="E55" s="6" t="s">
        <v>18</v>
      </c>
      <c r="F55" s="10">
        <v>10</v>
      </c>
      <c r="G55" s="10">
        <v>120</v>
      </c>
      <c r="H55" s="6" t="s">
        <v>38</v>
      </c>
      <c r="I55" s="6" t="s">
        <v>121</v>
      </c>
      <c r="J55" s="6" t="s">
        <v>121</v>
      </c>
      <c r="K55" s="6" t="s">
        <v>122</v>
      </c>
      <c r="L55" s="54" t="s">
        <v>23</v>
      </c>
      <c r="M55" s="54">
        <v>16000</v>
      </c>
      <c r="N55" s="54" t="s">
        <v>24</v>
      </c>
      <c r="O55" s="54">
        <v>1</v>
      </c>
      <c r="P55" t="e">
        <f xml:space="preserve"> LOOKUP(A55,#REF!,#REF!)</f>
        <v>#REF!</v>
      </c>
    </row>
    <row r="56" spans="1:16" hidden="1" x14ac:dyDescent="0.25">
      <c r="A56" s="5">
        <v>2410</v>
      </c>
      <c r="B56" s="5" t="s">
        <v>131</v>
      </c>
      <c r="C56" s="5" t="s">
        <v>117</v>
      </c>
      <c r="D56" s="5" t="s">
        <v>104</v>
      </c>
      <c r="E56" s="6" t="s">
        <v>18</v>
      </c>
      <c r="F56" s="10">
        <v>10</v>
      </c>
      <c r="G56" s="10">
        <v>120</v>
      </c>
      <c r="H56" s="8" t="s">
        <v>27</v>
      </c>
      <c r="I56" s="8" t="s">
        <v>20</v>
      </c>
      <c r="J56" s="8" t="s">
        <v>28</v>
      </c>
      <c r="K56" s="6" t="s">
        <v>29</v>
      </c>
      <c r="L56" s="54" t="s">
        <v>23</v>
      </c>
      <c r="M56" s="54">
        <v>250</v>
      </c>
      <c r="N56" s="54" t="s">
        <v>24</v>
      </c>
      <c r="O56" s="54">
        <v>1</v>
      </c>
      <c r="P56" t="e">
        <f xml:space="preserve"> LOOKUP(A56,#REF!,#REF!)</f>
        <v>#REF!</v>
      </c>
    </row>
    <row r="57" spans="1:16" hidden="1" x14ac:dyDescent="0.25">
      <c r="A57" s="5">
        <v>2410</v>
      </c>
      <c r="B57" s="5" t="s">
        <v>131</v>
      </c>
      <c r="C57" s="5" t="s">
        <v>117</v>
      </c>
      <c r="D57" s="5" t="s">
        <v>104</v>
      </c>
      <c r="E57" s="6" t="s">
        <v>18</v>
      </c>
      <c r="F57" s="10">
        <v>10</v>
      </c>
      <c r="G57" s="10">
        <v>120</v>
      </c>
      <c r="H57" s="6" t="s">
        <v>38</v>
      </c>
      <c r="I57" s="6" t="s">
        <v>30</v>
      </c>
      <c r="J57" s="6" t="s">
        <v>31</v>
      </c>
      <c r="K57" s="6" t="s">
        <v>32</v>
      </c>
      <c r="L57" s="54" t="s">
        <v>23</v>
      </c>
      <c r="M57" s="54">
        <v>200</v>
      </c>
      <c r="N57" s="54" t="s">
        <v>24</v>
      </c>
      <c r="O57" s="54">
        <v>1</v>
      </c>
      <c r="P57" t="e">
        <f xml:space="preserve"> LOOKUP(A57,#REF!,#REF!)</f>
        <v>#REF!</v>
      </c>
    </row>
    <row r="58" spans="1:16" hidden="1" x14ac:dyDescent="0.25">
      <c r="A58" s="5">
        <v>2410</v>
      </c>
      <c r="B58" s="5" t="s">
        <v>131</v>
      </c>
      <c r="C58" s="5" t="s">
        <v>117</v>
      </c>
      <c r="D58" s="5" t="s">
        <v>104</v>
      </c>
      <c r="E58" s="6" t="s">
        <v>18</v>
      </c>
      <c r="F58" s="10">
        <v>10</v>
      </c>
      <c r="G58" s="10">
        <v>120</v>
      </c>
      <c r="H58" s="8" t="s">
        <v>19</v>
      </c>
      <c r="I58" s="8" t="s">
        <v>20</v>
      </c>
      <c r="J58" s="8" t="s">
        <v>28</v>
      </c>
      <c r="K58" s="6" t="s">
        <v>29</v>
      </c>
      <c r="L58" s="54" t="s">
        <v>23</v>
      </c>
      <c r="M58" s="54">
        <v>55</v>
      </c>
      <c r="N58" s="54" t="s">
        <v>24</v>
      </c>
      <c r="O58" s="54">
        <v>1</v>
      </c>
      <c r="P58" t="e">
        <f xml:space="preserve"> LOOKUP(A58,#REF!,#REF!)</f>
        <v>#REF!</v>
      </c>
    </row>
    <row r="59" spans="1:16" hidden="1" x14ac:dyDescent="0.25">
      <c r="A59" s="5">
        <v>2415</v>
      </c>
      <c r="B59" s="5" t="s">
        <v>132</v>
      </c>
      <c r="C59" s="5" t="s">
        <v>117</v>
      </c>
      <c r="D59" s="5" t="s">
        <v>104</v>
      </c>
      <c r="E59" s="6" t="s">
        <v>18</v>
      </c>
      <c r="F59" s="10">
        <v>10</v>
      </c>
      <c r="G59" s="10">
        <v>120</v>
      </c>
      <c r="H59" s="6" t="s">
        <v>38</v>
      </c>
      <c r="I59" s="6" t="s">
        <v>121</v>
      </c>
      <c r="J59" s="6" t="s">
        <v>121</v>
      </c>
      <c r="K59" s="6" t="s">
        <v>122</v>
      </c>
      <c r="L59" s="54" t="s">
        <v>23</v>
      </c>
      <c r="M59" s="54">
        <v>16000</v>
      </c>
      <c r="N59" s="54" t="s">
        <v>24</v>
      </c>
      <c r="O59" s="54">
        <v>1</v>
      </c>
      <c r="P59" t="e">
        <f xml:space="preserve"> LOOKUP(A59,#REF!,#REF!)</f>
        <v>#REF!</v>
      </c>
    </row>
    <row r="60" spans="1:16" hidden="1" x14ac:dyDescent="0.25">
      <c r="A60" s="5">
        <v>2415</v>
      </c>
      <c r="B60" s="5" t="s">
        <v>132</v>
      </c>
      <c r="C60" s="5" t="s">
        <v>117</v>
      </c>
      <c r="D60" s="5" t="s">
        <v>104</v>
      </c>
      <c r="E60" s="6" t="s">
        <v>18</v>
      </c>
      <c r="F60" s="10">
        <v>10</v>
      </c>
      <c r="G60" s="10">
        <v>120</v>
      </c>
      <c r="H60" s="8" t="s">
        <v>27</v>
      </c>
      <c r="I60" s="8" t="s">
        <v>20</v>
      </c>
      <c r="J60" s="8" t="s">
        <v>28</v>
      </c>
      <c r="K60" s="6" t="s">
        <v>29</v>
      </c>
      <c r="L60" s="54" t="s">
        <v>23</v>
      </c>
      <c r="M60" s="54">
        <v>250</v>
      </c>
      <c r="N60" s="54" t="s">
        <v>24</v>
      </c>
      <c r="O60" s="54">
        <v>1</v>
      </c>
      <c r="P60" t="e">
        <f xml:space="preserve"> LOOKUP(A60,#REF!,#REF!)</f>
        <v>#REF!</v>
      </c>
    </row>
    <row r="61" spans="1:16" hidden="1" x14ac:dyDescent="0.25">
      <c r="A61" s="5">
        <v>2415</v>
      </c>
      <c r="B61" s="5" t="s">
        <v>132</v>
      </c>
      <c r="C61" s="5" t="s">
        <v>117</v>
      </c>
      <c r="D61" s="5" t="s">
        <v>104</v>
      </c>
      <c r="E61" s="6" t="s">
        <v>18</v>
      </c>
      <c r="F61" s="10">
        <v>10</v>
      </c>
      <c r="G61" s="10">
        <v>120</v>
      </c>
      <c r="H61" s="6" t="s">
        <v>38</v>
      </c>
      <c r="I61" s="6" t="s">
        <v>30</v>
      </c>
      <c r="J61" s="6" t="s">
        <v>31</v>
      </c>
      <c r="K61" s="6" t="s">
        <v>32</v>
      </c>
      <c r="L61" s="54" t="s">
        <v>23</v>
      </c>
      <c r="M61" s="54">
        <v>200</v>
      </c>
      <c r="N61" s="54" t="s">
        <v>24</v>
      </c>
      <c r="O61" s="54">
        <v>1</v>
      </c>
      <c r="P61" t="e">
        <f xml:space="preserve"> LOOKUP(A61,#REF!,#REF!)</f>
        <v>#REF!</v>
      </c>
    </row>
    <row r="62" spans="1:16" hidden="1" x14ac:dyDescent="0.25">
      <c r="A62" s="5">
        <v>2415</v>
      </c>
      <c r="B62" s="5" t="s">
        <v>132</v>
      </c>
      <c r="C62" s="5" t="s">
        <v>117</v>
      </c>
      <c r="D62" s="5" t="s">
        <v>104</v>
      </c>
      <c r="E62" s="6" t="s">
        <v>18</v>
      </c>
      <c r="F62" s="10">
        <v>10</v>
      </c>
      <c r="G62" s="10">
        <v>120</v>
      </c>
      <c r="H62" s="8" t="s">
        <v>19</v>
      </c>
      <c r="I62" s="8" t="s">
        <v>20</v>
      </c>
      <c r="J62" s="8" t="s">
        <v>28</v>
      </c>
      <c r="K62" s="6" t="s">
        <v>29</v>
      </c>
      <c r="L62" s="54" t="s">
        <v>23</v>
      </c>
      <c r="M62" s="54">
        <v>55</v>
      </c>
      <c r="N62" s="54" t="s">
        <v>24</v>
      </c>
      <c r="O62" s="54">
        <v>1</v>
      </c>
      <c r="P62" t="e">
        <f xml:space="preserve"> LOOKUP(A62,#REF!,#REF!)</f>
        <v>#REF!</v>
      </c>
    </row>
    <row r="63" spans="1:16" hidden="1" x14ac:dyDescent="0.25">
      <c r="A63" s="5">
        <v>2420</v>
      </c>
      <c r="B63" s="5" t="s">
        <v>133</v>
      </c>
      <c r="C63" s="5" t="s">
        <v>117</v>
      </c>
      <c r="D63" s="5" t="s">
        <v>104</v>
      </c>
      <c r="E63" s="6" t="s">
        <v>18</v>
      </c>
      <c r="F63" s="10">
        <v>10</v>
      </c>
      <c r="G63" s="10">
        <v>120</v>
      </c>
      <c r="H63" s="6" t="s">
        <v>38</v>
      </c>
      <c r="I63" s="6" t="s">
        <v>121</v>
      </c>
      <c r="J63" s="6" t="s">
        <v>121</v>
      </c>
      <c r="K63" s="6" t="s">
        <v>122</v>
      </c>
      <c r="L63" s="54" t="s">
        <v>23</v>
      </c>
      <c r="M63" s="54">
        <v>16000</v>
      </c>
      <c r="N63" s="54" t="s">
        <v>24</v>
      </c>
      <c r="O63" s="54">
        <v>1</v>
      </c>
      <c r="P63" t="e">
        <f xml:space="preserve"> LOOKUP(A63,#REF!,#REF!)</f>
        <v>#REF!</v>
      </c>
    </row>
    <row r="64" spans="1:16" hidden="1" x14ac:dyDescent="0.25">
      <c r="A64" s="5">
        <v>2420</v>
      </c>
      <c r="B64" s="5" t="s">
        <v>133</v>
      </c>
      <c r="C64" s="5" t="s">
        <v>117</v>
      </c>
      <c r="D64" s="5" t="s">
        <v>104</v>
      </c>
      <c r="E64" s="6" t="s">
        <v>18</v>
      </c>
      <c r="F64" s="10">
        <v>10</v>
      </c>
      <c r="G64" s="10">
        <v>120</v>
      </c>
      <c r="H64" s="8" t="s">
        <v>27</v>
      </c>
      <c r="I64" s="8" t="s">
        <v>20</v>
      </c>
      <c r="J64" s="8" t="s">
        <v>28</v>
      </c>
      <c r="K64" s="6" t="s">
        <v>29</v>
      </c>
      <c r="L64" s="54" t="s">
        <v>23</v>
      </c>
      <c r="M64" s="54">
        <v>250</v>
      </c>
      <c r="N64" s="54" t="s">
        <v>24</v>
      </c>
      <c r="O64" s="54">
        <v>1</v>
      </c>
      <c r="P64" t="e">
        <f xml:space="preserve"> LOOKUP(A64,#REF!,#REF!)</f>
        <v>#REF!</v>
      </c>
    </row>
    <row r="65" spans="1:16" hidden="1" x14ac:dyDescent="0.25">
      <c r="A65" s="5">
        <v>2420</v>
      </c>
      <c r="B65" s="5" t="s">
        <v>133</v>
      </c>
      <c r="C65" s="5" t="s">
        <v>117</v>
      </c>
      <c r="D65" s="5" t="s">
        <v>104</v>
      </c>
      <c r="E65" s="6" t="s">
        <v>18</v>
      </c>
      <c r="F65" s="10">
        <v>10</v>
      </c>
      <c r="G65" s="10">
        <v>120</v>
      </c>
      <c r="H65" s="6" t="s">
        <v>38</v>
      </c>
      <c r="I65" s="6" t="s">
        <v>30</v>
      </c>
      <c r="J65" s="6" t="s">
        <v>31</v>
      </c>
      <c r="K65" s="6" t="s">
        <v>32</v>
      </c>
      <c r="L65" s="54" t="s">
        <v>23</v>
      </c>
      <c r="M65" s="54">
        <v>200</v>
      </c>
      <c r="N65" s="54" t="s">
        <v>24</v>
      </c>
      <c r="O65" s="54">
        <v>1</v>
      </c>
      <c r="P65" t="e">
        <f xml:space="preserve"> LOOKUP(A65,#REF!,#REF!)</f>
        <v>#REF!</v>
      </c>
    </row>
    <row r="66" spans="1:16" hidden="1" x14ac:dyDescent="0.25">
      <c r="A66" s="5">
        <v>2420</v>
      </c>
      <c r="B66" s="5" t="s">
        <v>133</v>
      </c>
      <c r="C66" s="5" t="s">
        <v>117</v>
      </c>
      <c r="D66" s="5" t="s">
        <v>104</v>
      </c>
      <c r="E66" s="6" t="s">
        <v>18</v>
      </c>
      <c r="F66" s="10">
        <v>10</v>
      </c>
      <c r="G66" s="10">
        <v>120</v>
      </c>
      <c r="H66" s="8" t="s">
        <v>19</v>
      </c>
      <c r="I66" s="8" t="s">
        <v>20</v>
      </c>
      <c r="J66" s="8" t="s">
        <v>28</v>
      </c>
      <c r="K66" s="6" t="s">
        <v>29</v>
      </c>
      <c r="L66" s="54" t="s">
        <v>23</v>
      </c>
      <c r="M66" s="54">
        <v>55</v>
      </c>
      <c r="N66" s="54" t="s">
        <v>24</v>
      </c>
      <c r="O66" s="54">
        <v>1</v>
      </c>
      <c r="P66" t="e">
        <f xml:space="preserve"> LOOKUP(A66,#REF!,#REF!)</f>
        <v>#REF!</v>
      </c>
    </row>
    <row r="67" spans="1:16" hidden="1" x14ac:dyDescent="0.25">
      <c r="A67" s="5">
        <v>2460</v>
      </c>
      <c r="B67" s="5" t="s">
        <v>156</v>
      </c>
      <c r="C67" s="5" t="s">
        <v>157</v>
      </c>
      <c r="D67" s="5" t="s">
        <v>158</v>
      </c>
      <c r="E67" s="6" t="s">
        <v>18</v>
      </c>
      <c r="F67" s="10">
        <v>1</v>
      </c>
      <c r="G67" s="10">
        <v>105</v>
      </c>
      <c r="H67" s="8" t="s">
        <v>19</v>
      </c>
      <c r="I67" s="8" t="s">
        <v>20</v>
      </c>
      <c r="J67" s="8" t="s">
        <v>21</v>
      </c>
      <c r="K67" s="6" t="s">
        <v>159</v>
      </c>
      <c r="L67" s="54" t="s">
        <v>23</v>
      </c>
      <c r="M67" s="54">
        <v>200</v>
      </c>
      <c r="N67" s="54" t="s">
        <v>24</v>
      </c>
      <c r="O67" s="54">
        <v>1</v>
      </c>
      <c r="P67" t="e">
        <f xml:space="preserve"> LOOKUP(A67,#REF!,#REF!)</f>
        <v>#REF!</v>
      </c>
    </row>
    <row r="68" spans="1:16" hidden="1" x14ac:dyDescent="0.25">
      <c r="A68" s="5">
        <v>2460</v>
      </c>
      <c r="B68" s="5" t="s">
        <v>156</v>
      </c>
      <c r="C68" s="5" t="s">
        <v>157</v>
      </c>
      <c r="D68" s="5" t="s">
        <v>158</v>
      </c>
      <c r="E68" s="6" t="s">
        <v>18</v>
      </c>
      <c r="F68" s="10">
        <v>1</v>
      </c>
      <c r="G68" s="10">
        <v>105</v>
      </c>
      <c r="H68" s="6" t="s">
        <v>27</v>
      </c>
      <c r="I68" s="8" t="s">
        <v>20</v>
      </c>
      <c r="J68" s="8" t="s">
        <v>28</v>
      </c>
      <c r="K68" s="6" t="s">
        <v>29</v>
      </c>
      <c r="L68" s="54" t="s">
        <v>23</v>
      </c>
      <c r="M68" s="54">
        <v>165</v>
      </c>
      <c r="N68" s="54" t="s">
        <v>24</v>
      </c>
      <c r="O68" s="54">
        <v>1</v>
      </c>
      <c r="P68" t="e">
        <f xml:space="preserve"> LOOKUP(A68,#REF!,#REF!)</f>
        <v>#REF!</v>
      </c>
    </row>
    <row r="69" spans="1:16" hidden="1" x14ac:dyDescent="0.25">
      <c r="A69" s="5">
        <v>2465</v>
      </c>
      <c r="B69" s="5" t="s">
        <v>160</v>
      </c>
      <c r="C69" s="5" t="s">
        <v>157</v>
      </c>
      <c r="D69" s="5" t="s">
        <v>158</v>
      </c>
      <c r="E69" s="6" t="s">
        <v>18</v>
      </c>
      <c r="F69" s="10">
        <v>1</v>
      </c>
      <c r="G69" s="10">
        <v>105</v>
      </c>
      <c r="H69" s="8" t="s">
        <v>19</v>
      </c>
      <c r="I69" s="8" t="s">
        <v>20</v>
      </c>
      <c r="J69" s="8" t="s">
        <v>21</v>
      </c>
      <c r="K69" s="6" t="s">
        <v>159</v>
      </c>
      <c r="L69" s="54" t="s">
        <v>23</v>
      </c>
      <c r="M69" s="54">
        <v>200</v>
      </c>
      <c r="N69" s="54" t="s">
        <v>24</v>
      </c>
      <c r="O69" s="54">
        <v>1</v>
      </c>
      <c r="P69" t="e">
        <f xml:space="preserve"> LOOKUP(A69,#REF!,#REF!)</f>
        <v>#REF!</v>
      </c>
    </row>
    <row r="70" spans="1:16" hidden="1" x14ac:dyDescent="0.25">
      <c r="A70" s="5">
        <v>2465</v>
      </c>
      <c r="B70" s="5" t="s">
        <v>160</v>
      </c>
      <c r="C70" s="5" t="s">
        <v>157</v>
      </c>
      <c r="D70" s="5" t="s">
        <v>158</v>
      </c>
      <c r="E70" s="6" t="s">
        <v>18</v>
      </c>
      <c r="F70" s="10">
        <v>1</v>
      </c>
      <c r="G70" s="10">
        <v>105</v>
      </c>
      <c r="H70" s="6" t="s">
        <v>27</v>
      </c>
      <c r="I70" s="8" t="s">
        <v>20</v>
      </c>
      <c r="J70" s="8" t="s">
        <v>28</v>
      </c>
      <c r="K70" s="6" t="s">
        <v>29</v>
      </c>
      <c r="L70" s="54" t="s">
        <v>23</v>
      </c>
      <c r="M70" s="54">
        <v>165</v>
      </c>
      <c r="N70" s="54" t="s">
        <v>24</v>
      </c>
      <c r="O70" s="54">
        <v>1</v>
      </c>
      <c r="P70" t="e">
        <f xml:space="preserve"> LOOKUP(A70,#REF!,#REF!)</f>
        <v>#REF!</v>
      </c>
    </row>
    <row r="71" spans="1:16" hidden="1" x14ac:dyDescent="0.25">
      <c r="A71" s="5">
        <v>2470</v>
      </c>
      <c r="B71" s="5" t="s">
        <v>161</v>
      </c>
      <c r="C71" s="5" t="s">
        <v>157</v>
      </c>
      <c r="D71" s="5" t="s">
        <v>158</v>
      </c>
      <c r="E71" s="6" t="s">
        <v>18</v>
      </c>
      <c r="F71" s="10">
        <v>1</v>
      </c>
      <c r="G71" s="10">
        <v>105</v>
      </c>
      <c r="H71" s="6" t="s">
        <v>27</v>
      </c>
      <c r="I71" s="8" t="s">
        <v>20</v>
      </c>
      <c r="J71" s="8" t="s">
        <v>28</v>
      </c>
      <c r="K71" s="6" t="s">
        <v>29</v>
      </c>
      <c r="L71" s="54" t="s">
        <v>23</v>
      </c>
      <c r="M71" s="54">
        <v>165</v>
      </c>
      <c r="N71" s="54" t="s">
        <v>24</v>
      </c>
      <c r="O71" s="54">
        <v>1</v>
      </c>
      <c r="P71" t="e">
        <f xml:space="preserve"> LOOKUP(A71,#REF!,#REF!)</f>
        <v>#REF!</v>
      </c>
    </row>
    <row r="72" spans="1:16" hidden="1" x14ac:dyDescent="0.25">
      <c r="A72" s="5">
        <v>2470</v>
      </c>
      <c r="B72" s="5" t="s">
        <v>161</v>
      </c>
      <c r="C72" s="5" t="s">
        <v>157</v>
      </c>
      <c r="D72" s="5" t="s">
        <v>158</v>
      </c>
      <c r="E72" s="6" t="s">
        <v>18</v>
      </c>
      <c r="F72" s="10">
        <v>1</v>
      </c>
      <c r="G72" s="10">
        <v>105</v>
      </c>
      <c r="H72" s="8" t="s">
        <v>19</v>
      </c>
      <c r="I72" s="8" t="s">
        <v>20</v>
      </c>
      <c r="J72" s="8" t="s">
        <v>21</v>
      </c>
      <c r="K72" s="6" t="s">
        <v>159</v>
      </c>
      <c r="L72" s="54" t="s">
        <v>23</v>
      </c>
      <c r="M72" s="54">
        <v>120</v>
      </c>
      <c r="N72" s="54" t="s">
        <v>24</v>
      </c>
      <c r="O72" s="54">
        <v>1</v>
      </c>
      <c r="P72" t="e">
        <f xml:space="preserve"> LOOKUP(A72,#REF!,#REF!)</f>
        <v>#REF!</v>
      </c>
    </row>
    <row r="73" spans="1:16" hidden="1" x14ac:dyDescent="0.25">
      <c r="A73" s="5">
        <v>2475</v>
      </c>
      <c r="B73" s="5" t="s">
        <v>162</v>
      </c>
      <c r="C73" s="5" t="s">
        <v>157</v>
      </c>
      <c r="D73" s="5" t="s">
        <v>158</v>
      </c>
      <c r="E73" s="6" t="s">
        <v>18</v>
      </c>
      <c r="F73" s="10">
        <v>1</v>
      </c>
      <c r="G73" s="10">
        <v>105</v>
      </c>
      <c r="H73" s="6" t="s">
        <v>27</v>
      </c>
      <c r="I73" s="8" t="s">
        <v>20</v>
      </c>
      <c r="J73" s="8" t="s">
        <v>28</v>
      </c>
      <c r="K73" s="6" t="s">
        <v>29</v>
      </c>
      <c r="L73" s="54" t="s">
        <v>23</v>
      </c>
      <c r="M73" s="54">
        <v>165</v>
      </c>
      <c r="N73" s="54" t="s">
        <v>24</v>
      </c>
      <c r="O73" s="54">
        <v>1</v>
      </c>
      <c r="P73" t="e">
        <f xml:space="preserve"> LOOKUP(A73,#REF!,#REF!)</f>
        <v>#REF!</v>
      </c>
    </row>
    <row r="74" spans="1:16" hidden="1" x14ac:dyDescent="0.25">
      <c r="A74" s="5">
        <v>2475</v>
      </c>
      <c r="B74" s="5" t="s">
        <v>162</v>
      </c>
      <c r="C74" s="5" t="s">
        <v>157</v>
      </c>
      <c r="D74" s="5" t="s">
        <v>158</v>
      </c>
      <c r="E74" s="6" t="s">
        <v>18</v>
      </c>
      <c r="F74" s="10">
        <v>1</v>
      </c>
      <c r="G74" s="10">
        <v>105</v>
      </c>
      <c r="H74" s="8" t="s">
        <v>19</v>
      </c>
      <c r="I74" s="8" t="s">
        <v>20</v>
      </c>
      <c r="J74" s="8" t="s">
        <v>21</v>
      </c>
      <c r="K74" s="6" t="s">
        <v>159</v>
      </c>
      <c r="L74" s="54" t="s">
        <v>23</v>
      </c>
      <c r="M74" s="54">
        <v>120</v>
      </c>
      <c r="N74" s="54" t="s">
        <v>24</v>
      </c>
      <c r="O74" s="54">
        <v>1</v>
      </c>
      <c r="P74" t="e">
        <f xml:space="preserve"> LOOKUP(A74,#REF!,#REF!)</f>
        <v>#REF!</v>
      </c>
    </row>
    <row r="75" spans="1:16" hidden="1" x14ac:dyDescent="0.25">
      <c r="A75" s="5">
        <v>2480</v>
      </c>
      <c r="B75" s="5" t="s">
        <v>163</v>
      </c>
      <c r="C75" s="5" t="s">
        <v>157</v>
      </c>
      <c r="D75" s="5" t="s">
        <v>158</v>
      </c>
      <c r="E75" s="6" t="s">
        <v>18</v>
      </c>
      <c r="F75" s="10">
        <v>1</v>
      </c>
      <c r="G75" s="10">
        <v>248</v>
      </c>
      <c r="H75" s="8" t="s">
        <v>19</v>
      </c>
      <c r="I75" s="8" t="s">
        <v>20</v>
      </c>
      <c r="J75" s="8" t="s">
        <v>21</v>
      </c>
      <c r="K75" s="6" t="s">
        <v>159</v>
      </c>
      <c r="L75" s="54" t="s">
        <v>23</v>
      </c>
      <c r="M75" s="54">
        <v>200</v>
      </c>
      <c r="N75" s="54" t="s">
        <v>24</v>
      </c>
      <c r="O75" s="54">
        <v>1</v>
      </c>
      <c r="P75" t="e">
        <f xml:space="preserve"> LOOKUP(A75,#REF!,#REF!)</f>
        <v>#REF!</v>
      </c>
    </row>
    <row r="76" spans="1:16" hidden="1" x14ac:dyDescent="0.25">
      <c r="A76" s="5">
        <v>2480</v>
      </c>
      <c r="B76" s="5" t="s">
        <v>163</v>
      </c>
      <c r="C76" s="5" t="s">
        <v>157</v>
      </c>
      <c r="D76" s="5" t="s">
        <v>158</v>
      </c>
      <c r="E76" s="6" t="s">
        <v>18</v>
      </c>
      <c r="F76" s="10">
        <v>1</v>
      </c>
      <c r="G76" s="10">
        <v>248</v>
      </c>
      <c r="H76" s="6" t="s">
        <v>27</v>
      </c>
      <c r="I76" s="8" t="s">
        <v>20</v>
      </c>
      <c r="J76" s="8" t="s">
        <v>28</v>
      </c>
      <c r="K76" s="6" t="s">
        <v>29</v>
      </c>
      <c r="L76" s="54" t="s">
        <v>23</v>
      </c>
      <c r="M76" s="54">
        <v>65</v>
      </c>
      <c r="N76" s="54" t="s">
        <v>24</v>
      </c>
      <c r="O76" s="54">
        <v>1</v>
      </c>
      <c r="P76" t="e">
        <f xml:space="preserve"> LOOKUP(A76,#REF!,#REF!)</f>
        <v>#REF!</v>
      </c>
    </row>
    <row r="77" spans="1:16" hidden="1" x14ac:dyDescent="0.25">
      <c r="A77" s="5">
        <v>2485</v>
      </c>
      <c r="B77" s="5" t="s">
        <v>164</v>
      </c>
      <c r="C77" s="5" t="s">
        <v>157</v>
      </c>
      <c r="D77" s="5" t="s">
        <v>158</v>
      </c>
      <c r="E77" s="6" t="s">
        <v>18</v>
      </c>
      <c r="F77" s="10">
        <v>1</v>
      </c>
      <c r="G77" s="10">
        <v>248</v>
      </c>
      <c r="H77" s="8" t="s">
        <v>19</v>
      </c>
      <c r="I77" s="8" t="s">
        <v>20</v>
      </c>
      <c r="J77" s="8" t="s">
        <v>21</v>
      </c>
      <c r="K77" s="6" t="s">
        <v>159</v>
      </c>
      <c r="L77" s="54" t="s">
        <v>23</v>
      </c>
      <c r="M77" s="54">
        <v>200</v>
      </c>
      <c r="N77" s="54" t="s">
        <v>24</v>
      </c>
      <c r="O77" s="54">
        <v>1</v>
      </c>
      <c r="P77" t="e">
        <f xml:space="preserve"> LOOKUP(A77,#REF!,#REF!)</f>
        <v>#REF!</v>
      </c>
    </row>
    <row r="78" spans="1:16" hidden="1" x14ac:dyDescent="0.25">
      <c r="A78" s="5">
        <v>2485</v>
      </c>
      <c r="B78" s="5" t="s">
        <v>164</v>
      </c>
      <c r="C78" s="5" t="s">
        <v>157</v>
      </c>
      <c r="D78" s="5" t="s">
        <v>158</v>
      </c>
      <c r="E78" s="6" t="s">
        <v>18</v>
      </c>
      <c r="F78" s="10">
        <v>1</v>
      </c>
      <c r="G78" s="10">
        <v>248</v>
      </c>
      <c r="H78" s="6" t="s">
        <v>27</v>
      </c>
      <c r="I78" s="8" t="s">
        <v>20</v>
      </c>
      <c r="J78" s="8" t="s">
        <v>28</v>
      </c>
      <c r="K78" s="6" t="s">
        <v>29</v>
      </c>
      <c r="L78" s="54" t="s">
        <v>23</v>
      </c>
      <c r="M78" s="54">
        <v>65</v>
      </c>
      <c r="N78" s="54" t="s">
        <v>24</v>
      </c>
      <c r="O78" s="54">
        <v>1</v>
      </c>
      <c r="P78" t="e">
        <f xml:space="preserve"> LOOKUP(A78,#REF!,#REF!)</f>
        <v>#REF!</v>
      </c>
    </row>
    <row r="79" spans="1:16" hidden="1" x14ac:dyDescent="0.25">
      <c r="A79" s="5">
        <v>2515</v>
      </c>
      <c r="B79" s="5" t="s">
        <v>152</v>
      </c>
      <c r="C79" s="5" t="s">
        <v>153</v>
      </c>
      <c r="D79" s="5" t="s">
        <v>37</v>
      </c>
      <c r="E79" s="6" t="s">
        <v>18</v>
      </c>
      <c r="F79" s="10">
        <v>1</v>
      </c>
      <c r="G79" s="10">
        <v>200</v>
      </c>
      <c r="H79" s="6" t="s">
        <v>38</v>
      </c>
      <c r="I79" s="6" t="s">
        <v>30</v>
      </c>
      <c r="J79" s="6" t="s">
        <v>31</v>
      </c>
      <c r="K79" s="6" t="s">
        <v>32</v>
      </c>
      <c r="L79" s="54" t="s">
        <v>23</v>
      </c>
      <c r="M79" s="54">
        <v>200</v>
      </c>
      <c r="N79" s="54" t="s">
        <v>24</v>
      </c>
      <c r="O79" s="54">
        <v>1</v>
      </c>
      <c r="P79" t="e">
        <f xml:space="preserve"> LOOKUP(A79,#REF!,#REF!)</f>
        <v>#REF!</v>
      </c>
    </row>
    <row r="80" spans="1:16" hidden="1" x14ac:dyDescent="0.25">
      <c r="A80" s="5">
        <v>2515</v>
      </c>
      <c r="B80" s="5" t="s">
        <v>152</v>
      </c>
      <c r="C80" s="5" t="s">
        <v>153</v>
      </c>
      <c r="D80" s="5" t="s">
        <v>37</v>
      </c>
      <c r="E80" s="6" t="s">
        <v>18</v>
      </c>
      <c r="F80" s="10">
        <v>1</v>
      </c>
      <c r="G80" s="10">
        <v>200</v>
      </c>
      <c r="H80" s="6" t="s">
        <v>27</v>
      </c>
      <c r="I80" s="6" t="s">
        <v>20</v>
      </c>
      <c r="J80" s="6" t="s">
        <v>28</v>
      </c>
      <c r="K80" s="6" t="s">
        <v>29</v>
      </c>
      <c r="L80" s="54" t="s">
        <v>23</v>
      </c>
      <c r="M80" s="54">
        <v>171.6</v>
      </c>
      <c r="N80" s="54" t="s">
        <v>24</v>
      </c>
      <c r="O80" s="54">
        <v>1</v>
      </c>
      <c r="P80" t="e">
        <f xml:space="preserve"> LOOKUP(A80,#REF!,#REF!)</f>
        <v>#REF!</v>
      </c>
    </row>
    <row r="81" spans="1:16" hidden="1" x14ac:dyDescent="0.25">
      <c r="A81" s="5">
        <v>2515</v>
      </c>
      <c r="B81" s="5" t="s">
        <v>152</v>
      </c>
      <c r="C81" s="5" t="s">
        <v>153</v>
      </c>
      <c r="D81" s="5" t="s">
        <v>37</v>
      </c>
      <c r="E81" s="6" t="s">
        <v>18</v>
      </c>
      <c r="F81" s="10">
        <v>1</v>
      </c>
      <c r="G81" s="10">
        <v>200</v>
      </c>
      <c r="H81" s="8" t="s">
        <v>19</v>
      </c>
      <c r="I81" s="8" t="s">
        <v>20</v>
      </c>
      <c r="J81" s="6" t="s">
        <v>21</v>
      </c>
      <c r="K81" s="6" t="s">
        <v>43</v>
      </c>
      <c r="L81" s="54" t="s">
        <v>23</v>
      </c>
      <c r="M81" s="54">
        <v>63</v>
      </c>
      <c r="N81" s="54" t="s">
        <v>24</v>
      </c>
      <c r="O81" s="54">
        <v>1</v>
      </c>
      <c r="P81" t="e">
        <f xml:space="preserve"> LOOKUP(A81,#REF!,#REF!)</f>
        <v>#REF!</v>
      </c>
    </row>
    <row r="82" spans="1:16" hidden="1" x14ac:dyDescent="0.25">
      <c r="A82" s="5">
        <v>2515</v>
      </c>
      <c r="B82" s="5" t="s">
        <v>152</v>
      </c>
      <c r="C82" s="5" t="s">
        <v>153</v>
      </c>
      <c r="D82" s="5" t="s">
        <v>37</v>
      </c>
      <c r="E82" s="6" t="s">
        <v>18</v>
      </c>
      <c r="F82" s="10">
        <v>1</v>
      </c>
      <c r="G82" s="10">
        <v>200</v>
      </c>
      <c r="H82" s="6" t="s">
        <v>27</v>
      </c>
      <c r="I82" s="6" t="s">
        <v>30</v>
      </c>
      <c r="J82" s="6" t="s">
        <v>31</v>
      </c>
      <c r="K82" s="6" t="s">
        <v>32</v>
      </c>
      <c r="L82" s="54" t="s">
        <v>23</v>
      </c>
      <c r="M82" s="54">
        <v>1.2</v>
      </c>
      <c r="N82" s="54" t="s">
        <v>24</v>
      </c>
      <c r="O82" s="54">
        <v>1</v>
      </c>
      <c r="P82" t="e">
        <f xml:space="preserve"> LOOKUP(A82,#REF!,#REF!)</f>
        <v>#REF!</v>
      </c>
    </row>
    <row r="83" spans="1:16" hidden="1" x14ac:dyDescent="0.25">
      <c r="A83" s="5">
        <v>2520</v>
      </c>
      <c r="B83" s="5" t="s">
        <v>95</v>
      </c>
      <c r="C83" s="5" t="s">
        <v>96</v>
      </c>
      <c r="D83" s="5" t="s">
        <v>37</v>
      </c>
      <c r="E83" s="6" t="s">
        <v>18</v>
      </c>
      <c r="F83" s="10">
        <v>4</v>
      </c>
      <c r="G83" s="10">
        <v>60</v>
      </c>
      <c r="H83" s="6" t="s">
        <v>27</v>
      </c>
      <c r="I83" s="6" t="s">
        <v>20</v>
      </c>
      <c r="J83" s="6" t="s">
        <v>28</v>
      </c>
      <c r="K83" s="6" t="s">
        <v>29</v>
      </c>
      <c r="L83" s="54" t="s">
        <v>23</v>
      </c>
      <c r="M83" s="54">
        <v>255</v>
      </c>
      <c r="N83" s="54" t="s">
        <v>24</v>
      </c>
      <c r="O83" s="54">
        <v>1</v>
      </c>
      <c r="P83" t="e">
        <f xml:space="preserve"> LOOKUP(A83,#REF!,#REF!)</f>
        <v>#REF!</v>
      </c>
    </row>
    <row r="84" spans="1:16" hidden="1" x14ac:dyDescent="0.25">
      <c r="A84" s="5">
        <v>2520</v>
      </c>
      <c r="B84" s="5" t="s">
        <v>95</v>
      </c>
      <c r="C84" s="5" t="s">
        <v>96</v>
      </c>
      <c r="D84" s="5" t="s">
        <v>37</v>
      </c>
      <c r="E84" s="6" t="s">
        <v>18</v>
      </c>
      <c r="F84" s="10">
        <v>4</v>
      </c>
      <c r="G84" s="10">
        <v>60</v>
      </c>
      <c r="H84" s="6" t="s">
        <v>38</v>
      </c>
      <c r="I84" s="6" t="s">
        <v>30</v>
      </c>
      <c r="J84" s="6" t="s">
        <v>31</v>
      </c>
      <c r="K84" s="6" t="s">
        <v>43</v>
      </c>
      <c r="L84" s="54" t="s">
        <v>23</v>
      </c>
      <c r="M84" s="54">
        <v>200</v>
      </c>
      <c r="N84" s="54" t="s">
        <v>24</v>
      </c>
      <c r="O84" s="54">
        <v>1</v>
      </c>
      <c r="P84" t="e">
        <f xml:space="preserve"> LOOKUP(A84,#REF!,#REF!)</f>
        <v>#REF!</v>
      </c>
    </row>
    <row r="85" spans="1:16" hidden="1" x14ac:dyDescent="0.25">
      <c r="A85" s="5">
        <v>2520</v>
      </c>
      <c r="B85" s="5" t="s">
        <v>95</v>
      </c>
      <c r="C85" s="5" t="s">
        <v>96</v>
      </c>
      <c r="D85" s="5" t="s">
        <v>37</v>
      </c>
      <c r="E85" s="6" t="s">
        <v>18</v>
      </c>
      <c r="F85" s="10">
        <v>4</v>
      </c>
      <c r="G85" s="10">
        <v>60</v>
      </c>
      <c r="H85" s="6" t="s">
        <v>19</v>
      </c>
      <c r="I85" s="6" t="s">
        <v>30</v>
      </c>
      <c r="J85" s="6" t="s">
        <v>31</v>
      </c>
      <c r="K85" s="6" t="s">
        <v>43</v>
      </c>
      <c r="L85" s="54" t="s">
        <v>23</v>
      </c>
      <c r="M85" s="54">
        <v>20</v>
      </c>
      <c r="N85" s="54" t="s">
        <v>24</v>
      </c>
      <c r="O85" s="54">
        <v>1</v>
      </c>
      <c r="P85" t="e">
        <f xml:space="preserve"> LOOKUP(A85,#REF!,#REF!)</f>
        <v>#REF!</v>
      </c>
    </row>
    <row r="86" spans="1:16" hidden="1" x14ac:dyDescent="0.25">
      <c r="A86" s="5">
        <v>2525</v>
      </c>
      <c r="B86" s="5" t="s">
        <v>97</v>
      </c>
      <c r="C86" s="5" t="s">
        <v>96</v>
      </c>
      <c r="D86" s="5" t="s">
        <v>37</v>
      </c>
      <c r="E86" s="6" t="s">
        <v>18</v>
      </c>
      <c r="F86" s="10">
        <v>1</v>
      </c>
      <c r="G86" s="10">
        <v>40</v>
      </c>
      <c r="H86" s="8" t="s">
        <v>19</v>
      </c>
      <c r="I86" s="8" t="s">
        <v>20</v>
      </c>
      <c r="J86" s="8" t="s">
        <v>21</v>
      </c>
      <c r="K86" s="6" t="s">
        <v>43</v>
      </c>
      <c r="L86" s="54" t="s">
        <v>23</v>
      </c>
      <c r="M86" s="54">
        <v>310</v>
      </c>
      <c r="N86" s="54" t="s">
        <v>24</v>
      </c>
      <c r="O86" s="54">
        <v>1</v>
      </c>
      <c r="P86" t="e">
        <f xml:space="preserve"> LOOKUP(A86,#REF!,#REF!)</f>
        <v>#REF!</v>
      </c>
    </row>
    <row r="87" spans="1:16" hidden="1" x14ac:dyDescent="0.25">
      <c r="A87" s="5">
        <v>2525</v>
      </c>
      <c r="B87" s="5" t="s">
        <v>97</v>
      </c>
      <c r="C87" s="5" t="s">
        <v>96</v>
      </c>
      <c r="D87" s="5" t="s">
        <v>37</v>
      </c>
      <c r="E87" s="6" t="s">
        <v>18</v>
      </c>
      <c r="F87" s="10">
        <v>1</v>
      </c>
      <c r="G87" s="10">
        <v>40</v>
      </c>
      <c r="H87" s="6" t="s">
        <v>38</v>
      </c>
      <c r="I87" s="6" t="s">
        <v>30</v>
      </c>
      <c r="J87" s="6" t="s">
        <v>31</v>
      </c>
      <c r="K87" s="6" t="s">
        <v>32</v>
      </c>
      <c r="L87" s="54" t="s">
        <v>23</v>
      </c>
      <c r="M87" s="54">
        <v>200</v>
      </c>
      <c r="N87" s="54" t="s">
        <v>24</v>
      </c>
      <c r="O87" s="54">
        <v>1</v>
      </c>
      <c r="P87" t="e">
        <f xml:space="preserve"> LOOKUP(A87,#REF!,#REF!)</f>
        <v>#REF!</v>
      </c>
    </row>
    <row r="88" spans="1:16" hidden="1" x14ac:dyDescent="0.25">
      <c r="A88" s="5">
        <v>2530</v>
      </c>
      <c r="B88" s="5" t="s">
        <v>98</v>
      </c>
      <c r="C88" s="5" t="s">
        <v>96</v>
      </c>
      <c r="D88" s="5" t="s">
        <v>37</v>
      </c>
      <c r="E88" s="6" t="s">
        <v>18</v>
      </c>
      <c r="F88" s="10">
        <v>1</v>
      </c>
      <c r="G88" s="10">
        <v>65</v>
      </c>
      <c r="H88" s="6" t="s">
        <v>38</v>
      </c>
      <c r="I88" s="6" t="s">
        <v>30</v>
      </c>
      <c r="J88" s="6" t="s">
        <v>31</v>
      </c>
      <c r="K88" s="6" t="s">
        <v>32</v>
      </c>
      <c r="L88" s="54" t="s">
        <v>23</v>
      </c>
      <c r="M88" s="54">
        <v>200</v>
      </c>
      <c r="N88" s="54" t="s">
        <v>24</v>
      </c>
      <c r="O88" s="54">
        <v>1</v>
      </c>
      <c r="P88" t="e">
        <f xml:space="preserve"> LOOKUP(A88,#REF!,#REF!)</f>
        <v>#REF!</v>
      </c>
    </row>
    <row r="89" spans="1:16" hidden="1" x14ac:dyDescent="0.25">
      <c r="A89" s="5">
        <v>2530</v>
      </c>
      <c r="B89" s="5" t="s">
        <v>98</v>
      </c>
      <c r="C89" s="5" t="s">
        <v>96</v>
      </c>
      <c r="D89" s="5" t="s">
        <v>37</v>
      </c>
      <c r="E89" s="6" t="s">
        <v>18</v>
      </c>
      <c r="F89" s="10">
        <v>1</v>
      </c>
      <c r="G89" s="10">
        <v>65</v>
      </c>
      <c r="H89" s="8" t="s">
        <v>19</v>
      </c>
      <c r="I89" s="8" t="s">
        <v>20</v>
      </c>
      <c r="J89" s="8" t="s">
        <v>21</v>
      </c>
      <c r="K89" s="6" t="s">
        <v>43</v>
      </c>
      <c r="L89" s="54" t="s">
        <v>23</v>
      </c>
      <c r="M89" s="54">
        <v>152.26</v>
      </c>
      <c r="N89" s="54" t="s">
        <v>24</v>
      </c>
      <c r="O89" s="54">
        <v>1</v>
      </c>
      <c r="P89" t="e">
        <f xml:space="preserve"> LOOKUP(A89,#REF!,#REF!)</f>
        <v>#REF!</v>
      </c>
    </row>
    <row r="90" spans="1:16" hidden="1" x14ac:dyDescent="0.25">
      <c r="A90" s="5">
        <v>2535</v>
      </c>
      <c r="B90" s="5" t="s">
        <v>99</v>
      </c>
      <c r="C90" s="5" t="s">
        <v>96</v>
      </c>
      <c r="D90" s="5" t="s">
        <v>37</v>
      </c>
      <c r="E90" s="6" t="s">
        <v>18</v>
      </c>
      <c r="F90" s="10">
        <v>1</v>
      </c>
      <c r="G90" s="10">
        <v>40</v>
      </c>
      <c r="H90" s="8" t="s">
        <v>19</v>
      </c>
      <c r="I90" s="8" t="s">
        <v>20</v>
      </c>
      <c r="J90" s="8" t="s">
        <v>21</v>
      </c>
      <c r="K90" s="6" t="s">
        <v>43</v>
      </c>
      <c r="L90" s="54" t="s">
        <v>23</v>
      </c>
      <c r="M90" s="54">
        <v>310</v>
      </c>
      <c r="N90" s="54" t="s">
        <v>24</v>
      </c>
      <c r="O90" s="54">
        <v>1</v>
      </c>
      <c r="P90" t="e">
        <f xml:space="preserve"> LOOKUP(A90,#REF!,#REF!)</f>
        <v>#REF!</v>
      </c>
    </row>
    <row r="91" spans="1:16" hidden="1" x14ac:dyDescent="0.25">
      <c r="A91" s="5">
        <v>2535</v>
      </c>
      <c r="B91" s="5" t="s">
        <v>99</v>
      </c>
      <c r="C91" s="5" t="s">
        <v>96</v>
      </c>
      <c r="D91" s="5" t="s">
        <v>37</v>
      </c>
      <c r="E91" s="6" t="s">
        <v>18</v>
      </c>
      <c r="F91" s="10">
        <v>1</v>
      </c>
      <c r="G91" s="10">
        <v>40</v>
      </c>
      <c r="H91" s="6" t="s">
        <v>38</v>
      </c>
      <c r="I91" s="6" t="s">
        <v>30</v>
      </c>
      <c r="J91" s="6" t="s">
        <v>31</v>
      </c>
      <c r="K91" s="6" t="s">
        <v>32</v>
      </c>
      <c r="L91" s="54" t="s">
        <v>23</v>
      </c>
      <c r="M91" s="54">
        <v>200</v>
      </c>
      <c r="N91" s="54" t="s">
        <v>24</v>
      </c>
      <c r="O91" s="54">
        <v>1</v>
      </c>
      <c r="P91" t="e">
        <f xml:space="preserve"> LOOKUP(A91,#REF!,#REF!)</f>
        <v>#REF!</v>
      </c>
    </row>
    <row r="92" spans="1:16" hidden="1" x14ac:dyDescent="0.25">
      <c r="A92" s="4">
        <v>5245</v>
      </c>
      <c r="B92" s="5" t="s">
        <v>46</v>
      </c>
      <c r="C92" s="5" t="s">
        <v>47</v>
      </c>
      <c r="D92" s="5" t="s">
        <v>48</v>
      </c>
      <c r="E92" s="6" t="s">
        <v>18</v>
      </c>
      <c r="F92" s="7">
        <v>12</v>
      </c>
      <c r="G92" s="7">
        <v>40</v>
      </c>
      <c r="H92" s="6" t="s">
        <v>27</v>
      </c>
      <c r="I92" s="6" t="s">
        <v>20</v>
      </c>
      <c r="J92" s="6" t="s">
        <v>28</v>
      </c>
      <c r="K92" s="6" t="s">
        <v>29</v>
      </c>
      <c r="L92" s="54" t="s">
        <v>23</v>
      </c>
      <c r="M92" s="54">
        <v>217</v>
      </c>
      <c r="N92" s="54" t="s">
        <v>24</v>
      </c>
      <c r="O92" s="54">
        <v>1</v>
      </c>
      <c r="P92" t="e">
        <f xml:space="preserve"> LOOKUP(A92,#REF!,#REF!)</f>
        <v>#REF!</v>
      </c>
    </row>
    <row r="93" spans="1:16" hidden="1" x14ac:dyDescent="0.25">
      <c r="A93" s="4">
        <v>5245</v>
      </c>
      <c r="B93" s="5" t="s">
        <v>46</v>
      </c>
      <c r="C93" s="5" t="s">
        <v>47</v>
      </c>
      <c r="D93" s="5" t="s">
        <v>48</v>
      </c>
      <c r="E93" s="6" t="s">
        <v>18</v>
      </c>
      <c r="F93" s="7">
        <v>12</v>
      </c>
      <c r="G93" s="7">
        <v>40</v>
      </c>
      <c r="H93" s="6" t="s">
        <v>19</v>
      </c>
      <c r="I93" s="6" t="s">
        <v>20</v>
      </c>
      <c r="J93" s="6" t="s">
        <v>28</v>
      </c>
      <c r="K93" s="6" t="s">
        <v>29</v>
      </c>
      <c r="L93" s="54" t="s">
        <v>23</v>
      </c>
      <c r="M93" s="54">
        <v>56</v>
      </c>
      <c r="N93" s="54" t="s">
        <v>24</v>
      </c>
      <c r="O93" s="54">
        <v>1</v>
      </c>
      <c r="P93" t="e">
        <f xml:space="preserve"> LOOKUP(A93,#REF!,#REF!)</f>
        <v>#REF!</v>
      </c>
    </row>
    <row r="94" spans="1:16" hidden="1" x14ac:dyDescent="0.25">
      <c r="A94" s="4">
        <v>5245</v>
      </c>
      <c r="B94" s="5" t="s">
        <v>46</v>
      </c>
      <c r="C94" s="5" t="s">
        <v>47</v>
      </c>
      <c r="D94" s="5" t="s">
        <v>48</v>
      </c>
      <c r="E94" s="6" t="s">
        <v>18</v>
      </c>
      <c r="F94" s="7">
        <v>12</v>
      </c>
      <c r="G94" s="7">
        <v>40</v>
      </c>
      <c r="H94" s="6" t="s">
        <v>19</v>
      </c>
      <c r="I94" s="6" t="s">
        <v>30</v>
      </c>
      <c r="J94" s="6" t="s">
        <v>31</v>
      </c>
      <c r="K94" s="6" t="s">
        <v>32</v>
      </c>
      <c r="L94" s="54" t="s">
        <v>23</v>
      </c>
      <c r="M94" s="54">
        <v>8</v>
      </c>
      <c r="N94" s="54" t="s">
        <v>24</v>
      </c>
      <c r="O94" s="54">
        <v>1</v>
      </c>
      <c r="P94" t="e">
        <f xml:space="preserve"> LOOKUP(A94,#REF!,#REF!)</f>
        <v>#REF!</v>
      </c>
    </row>
    <row r="95" spans="1:16" hidden="1" x14ac:dyDescent="0.25">
      <c r="A95" s="4">
        <v>5250</v>
      </c>
      <c r="B95" s="5" t="s">
        <v>49</v>
      </c>
      <c r="C95" s="5" t="s">
        <v>47</v>
      </c>
      <c r="D95" s="5" t="s">
        <v>48</v>
      </c>
      <c r="E95" s="6" t="s">
        <v>18</v>
      </c>
      <c r="F95" s="9">
        <v>12</v>
      </c>
      <c r="G95" s="9">
        <v>95</v>
      </c>
      <c r="H95" s="6" t="s">
        <v>27</v>
      </c>
      <c r="I95" s="6" t="s">
        <v>20</v>
      </c>
      <c r="J95" s="6" t="s">
        <v>28</v>
      </c>
      <c r="K95" s="6" t="s">
        <v>29</v>
      </c>
      <c r="L95" s="54" t="s">
        <v>23</v>
      </c>
      <c r="M95" s="54">
        <v>420</v>
      </c>
      <c r="N95" s="54" t="s">
        <v>24</v>
      </c>
      <c r="O95" s="54">
        <v>1</v>
      </c>
      <c r="P95" t="e">
        <f xml:space="preserve"> LOOKUP(A95,#REF!,#REF!)</f>
        <v>#REF!</v>
      </c>
    </row>
    <row r="96" spans="1:16" hidden="1" x14ac:dyDescent="0.25">
      <c r="A96" s="4">
        <v>5250</v>
      </c>
      <c r="B96" s="5" t="s">
        <v>49</v>
      </c>
      <c r="C96" s="5" t="s">
        <v>47</v>
      </c>
      <c r="D96" s="5" t="s">
        <v>48</v>
      </c>
      <c r="E96" s="6" t="s">
        <v>18</v>
      </c>
      <c r="F96" s="9">
        <v>12</v>
      </c>
      <c r="G96" s="9">
        <v>95</v>
      </c>
      <c r="H96" s="6" t="s">
        <v>19</v>
      </c>
      <c r="I96" s="6" t="s">
        <v>20</v>
      </c>
      <c r="J96" s="6" t="s">
        <v>28</v>
      </c>
      <c r="K96" s="6" t="s">
        <v>29</v>
      </c>
      <c r="L96" s="54" t="s">
        <v>23</v>
      </c>
      <c r="M96" s="54">
        <v>26</v>
      </c>
      <c r="N96" s="54" t="s">
        <v>24</v>
      </c>
      <c r="O96" s="54">
        <v>1</v>
      </c>
      <c r="P96" t="e">
        <f xml:space="preserve"> LOOKUP(A96,#REF!,#REF!)</f>
        <v>#REF!</v>
      </c>
    </row>
    <row r="97" spans="1:16" hidden="1" x14ac:dyDescent="0.25">
      <c r="A97" s="4">
        <v>5250</v>
      </c>
      <c r="B97" s="5" t="s">
        <v>49</v>
      </c>
      <c r="C97" s="5" t="s">
        <v>47</v>
      </c>
      <c r="D97" s="5" t="s">
        <v>48</v>
      </c>
      <c r="E97" s="6" t="s">
        <v>18</v>
      </c>
      <c r="F97" s="9">
        <v>12</v>
      </c>
      <c r="G97" s="9">
        <v>95</v>
      </c>
      <c r="H97" s="6" t="s">
        <v>19</v>
      </c>
      <c r="I97" s="6" t="s">
        <v>30</v>
      </c>
      <c r="J97" s="6" t="s">
        <v>31</v>
      </c>
      <c r="K97" s="6" t="s">
        <v>32</v>
      </c>
      <c r="L97" s="54" t="s">
        <v>23</v>
      </c>
      <c r="M97" s="54">
        <v>4</v>
      </c>
      <c r="N97" s="54" t="s">
        <v>24</v>
      </c>
      <c r="O97" s="54">
        <v>1</v>
      </c>
      <c r="P97" t="e">
        <f xml:space="preserve"> LOOKUP(A97,#REF!,#REF!)</f>
        <v>#REF!</v>
      </c>
    </row>
    <row r="98" spans="1:16" hidden="1" x14ac:dyDescent="0.25">
      <c r="A98" s="5">
        <v>5930</v>
      </c>
      <c r="B98" s="5" t="s">
        <v>116</v>
      </c>
      <c r="C98" s="5" t="s">
        <v>117</v>
      </c>
      <c r="D98" s="5" t="s">
        <v>118</v>
      </c>
      <c r="E98" s="6" t="s">
        <v>18</v>
      </c>
      <c r="F98" s="10">
        <v>12</v>
      </c>
      <c r="G98" s="10">
        <v>48</v>
      </c>
      <c r="H98" s="6" t="s">
        <v>27</v>
      </c>
      <c r="I98" s="6" t="s">
        <v>20</v>
      </c>
      <c r="J98" s="6" t="s">
        <v>28</v>
      </c>
      <c r="K98" s="6" t="s">
        <v>29</v>
      </c>
      <c r="L98" s="54" t="s">
        <v>23</v>
      </c>
      <c r="M98" s="54">
        <v>250</v>
      </c>
      <c r="N98" s="54" t="s">
        <v>24</v>
      </c>
      <c r="O98" s="54">
        <v>1</v>
      </c>
      <c r="P98" t="e">
        <f xml:space="preserve"> LOOKUP(A98,#REF!,#REF!)</f>
        <v>#REF!</v>
      </c>
    </row>
    <row r="99" spans="1:16" hidden="1" x14ac:dyDescent="0.25">
      <c r="A99" s="5">
        <v>5930</v>
      </c>
      <c r="B99" s="5" t="s">
        <v>116</v>
      </c>
      <c r="C99" s="5" t="s">
        <v>117</v>
      </c>
      <c r="D99" s="5" t="s">
        <v>118</v>
      </c>
      <c r="E99" s="6" t="s">
        <v>18</v>
      </c>
      <c r="F99" s="10">
        <v>12</v>
      </c>
      <c r="G99" s="10">
        <v>48</v>
      </c>
      <c r="H99" s="6" t="s">
        <v>19</v>
      </c>
      <c r="I99" s="6" t="s">
        <v>20</v>
      </c>
      <c r="J99" s="6" t="s">
        <v>28</v>
      </c>
      <c r="K99" s="6" t="s">
        <v>61</v>
      </c>
      <c r="L99" s="54" t="s">
        <v>23</v>
      </c>
      <c r="M99" s="54">
        <v>37</v>
      </c>
      <c r="N99" s="54" t="s">
        <v>24</v>
      </c>
      <c r="O99" s="54">
        <v>1</v>
      </c>
      <c r="P99" t="e">
        <f xml:space="preserve"> LOOKUP(A99,#REF!,#REF!)</f>
        <v>#REF!</v>
      </c>
    </row>
    <row r="100" spans="1:16" hidden="1" x14ac:dyDescent="0.25">
      <c r="A100" s="5">
        <v>5930</v>
      </c>
      <c r="B100" s="5" t="s">
        <v>116</v>
      </c>
      <c r="C100" s="5" t="s">
        <v>117</v>
      </c>
      <c r="D100" s="5" t="s">
        <v>118</v>
      </c>
      <c r="E100" s="6" t="s">
        <v>18</v>
      </c>
      <c r="F100" s="10">
        <v>12</v>
      </c>
      <c r="G100" s="10">
        <v>48</v>
      </c>
      <c r="H100" s="6" t="s">
        <v>19</v>
      </c>
      <c r="I100" s="6" t="s">
        <v>20</v>
      </c>
      <c r="J100" s="6" t="s">
        <v>28</v>
      </c>
      <c r="K100" s="6" t="s">
        <v>29</v>
      </c>
      <c r="L100" s="54" t="s">
        <v>23</v>
      </c>
      <c r="M100" s="54">
        <v>25</v>
      </c>
      <c r="N100" s="54" t="s">
        <v>24</v>
      </c>
      <c r="O100" s="54">
        <v>1</v>
      </c>
      <c r="P100" t="e">
        <f xml:space="preserve"> LOOKUP(A100,#REF!,#REF!)</f>
        <v>#REF!</v>
      </c>
    </row>
    <row r="101" spans="1:16" hidden="1" x14ac:dyDescent="0.25">
      <c r="A101" s="5">
        <v>5955</v>
      </c>
      <c r="B101" s="5" t="s">
        <v>154</v>
      </c>
      <c r="C101" s="5" t="s">
        <v>155</v>
      </c>
      <c r="D101" s="5" t="s">
        <v>37</v>
      </c>
      <c r="E101" s="6" t="s">
        <v>18</v>
      </c>
      <c r="F101" s="10">
        <v>4</v>
      </c>
      <c r="G101" s="10">
        <v>40</v>
      </c>
      <c r="H101" s="6" t="s">
        <v>38</v>
      </c>
      <c r="I101" s="6" t="s">
        <v>30</v>
      </c>
      <c r="J101" s="6" t="s">
        <v>31</v>
      </c>
      <c r="K101" s="6" t="s">
        <v>32</v>
      </c>
      <c r="L101" s="54" t="s">
        <v>23</v>
      </c>
      <c r="M101" s="54">
        <v>200</v>
      </c>
      <c r="N101" s="54" t="s">
        <v>24</v>
      </c>
      <c r="O101" s="54">
        <v>1</v>
      </c>
      <c r="P101" t="e">
        <f xml:space="preserve"> LOOKUP(A101,#REF!,#REF!)</f>
        <v>#REF!</v>
      </c>
    </row>
    <row r="102" spans="1:16" hidden="1" x14ac:dyDescent="0.25">
      <c r="A102" s="5">
        <v>5955</v>
      </c>
      <c r="B102" s="5" t="s">
        <v>154</v>
      </c>
      <c r="C102" s="5" t="s">
        <v>155</v>
      </c>
      <c r="D102" s="5" t="s">
        <v>37</v>
      </c>
      <c r="E102" s="6" t="s">
        <v>18</v>
      </c>
      <c r="F102" s="10">
        <v>4</v>
      </c>
      <c r="G102" s="10">
        <v>40</v>
      </c>
      <c r="H102" s="6" t="s">
        <v>19</v>
      </c>
      <c r="I102" s="6" t="s">
        <v>30</v>
      </c>
      <c r="J102" s="6" t="s">
        <v>138</v>
      </c>
      <c r="K102" s="6" t="s">
        <v>141</v>
      </c>
      <c r="L102" s="54" t="s">
        <v>23</v>
      </c>
      <c r="M102" s="54">
        <v>144.6</v>
      </c>
      <c r="N102" s="54" t="s">
        <v>24</v>
      </c>
      <c r="O102" s="54">
        <v>1</v>
      </c>
      <c r="P102" t="e">
        <f xml:space="preserve"> LOOKUP(A102,#REF!,#REF!)</f>
        <v>#REF!</v>
      </c>
    </row>
    <row r="103" spans="1:16" hidden="1" x14ac:dyDescent="0.25">
      <c r="A103" s="5">
        <v>5955</v>
      </c>
      <c r="B103" s="5" t="s">
        <v>154</v>
      </c>
      <c r="C103" s="5" t="s">
        <v>155</v>
      </c>
      <c r="D103" s="5" t="s">
        <v>37</v>
      </c>
      <c r="E103" s="6" t="s">
        <v>18</v>
      </c>
      <c r="F103" s="10">
        <v>4</v>
      </c>
      <c r="G103" s="10">
        <v>40</v>
      </c>
      <c r="H103" s="6" t="s">
        <v>19</v>
      </c>
      <c r="I103" s="6" t="s">
        <v>20</v>
      </c>
      <c r="J103" s="6" t="s">
        <v>21</v>
      </c>
      <c r="K103" s="6" t="s">
        <v>22</v>
      </c>
      <c r="L103" s="54" t="s">
        <v>23</v>
      </c>
      <c r="M103" s="54">
        <v>2</v>
      </c>
      <c r="N103" s="54" t="s">
        <v>24</v>
      </c>
      <c r="O103" s="54">
        <v>1</v>
      </c>
      <c r="P103" t="e">
        <f xml:space="preserve"> LOOKUP(A103,#REF!,#REF!)</f>
        <v>#REF!</v>
      </c>
    </row>
    <row r="104" spans="1:16" hidden="1" x14ac:dyDescent="0.25">
      <c r="A104" s="4">
        <v>10026</v>
      </c>
      <c r="B104" s="5" t="s">
        <v>77</v>
      </c>
      <c r="C104" s="5" t="s">
        <v>78</v>
      </c>
      <c r="D104" s="5" t="s">
        <v>37</v>
      </c>
      <c r="E104" s="6" t="s">
        <v>18</v>
      </c>
      <c r="F104" s="9">
        <v>12</v>
      </c>
      <c r="G104" s="9">
        <v>140</v>
      </c>
      <c r="H104" s="6" t="s">
        <v>38</v>
      </c>
      <c r="I104" s="6" t="s">
        <v>30</v>
      </c>
      <c r="J104" s="6" t="s">
        <v>31</v>
      </c>
      <c r="K104" s="6" t="s">
        <v>32</v>
      </c>
      <c r="L104" s="54" t="s">
        <v>23</v>
      </c>
      <c r="M104" s="54">
        <v>200</v>
      </c>
      <c r="N104" s="54" t="s">
        <v>24</v>
      </c>
      <c r="O104" s="54">
        <v>1</v>
      </c>
      <c r="P104" t="e">
        <f xml:space="preserve"> LOOKUP(A104,#REF!,#REF!)</f>
        <v>#REF!</v>
      </c>
    </row>
    <row r="105" spans="1:16" hidden="1" x14ac:dyDescent="0.25">
      <c r="A105" s="4">
        <v>10026</v>
      </c>
      <c r="B105" s="5" t="s">
        <v>77</v>
      </c>
      <c r="C105" s="5" t="s">
        <v>78</v>
      </c>
      <c r="D105" s="5" t="s">
        <v>37</v>
      </c>
      <c r="E105" s="6" t="s">
        <v>18</v>
      </c>
      <c r="F105" s="9">
        <v>12</v>
      </c>
      <c r="G105" s="9">
        <v>140</v>
      </c>
      <c r="H105" s="6" t="s">
        <v>27</v>
      </c>
      <c r="I105" s="6" t="s">
        <v>20</v>
      </c>
      <c r="J105" s="6" t="s">
        <v>28</v>
      </c>
      <c r="K105" s="6" t="s">
        <v>29</v>
      </c>
      <c r="L105" s="54" t="s">
        <v>23</v>
      </c>
      <c r="M105" s="54">
        <v>130</v>
      </c>
      <c r="N105" s="54" t="s">
        <v>24</v>
      </c>
      <c r="O105" s="54">
        <v>1</v>
      </c>
      <c r="P105" t="e">
        <f xml:space="preserve"> LOOKUP(A105,#REF!,#REF!)</f>
        <v>#REF!</v>
      </c>
    </row>
    <row r="106" spans="1:16" hidden="1" x14ac:dyDescent="0.25">
      <c r="A106" s="4">
        <v>10026</v>
      </c>
      <c r="B106" s="5" t="s">
        <v>77</v>
      </c>
      <c r="C106" s="5" t="s">
        <v>78</v>
      </c>
      <c r="D106" s="5" t="s">
        <v>37</v>
      </c>
      <c r="E106" s="6" t="s">
        <v>18</v>
      </c>
      <c r="F106" s="9">
        <v>12</v>
      </c>
      <c r="G106" s="9">
        <v>140</v>
      </c>
      <c r="H106" s="6" t="s">
        <v>19</v>
      </c>
      <c r="I106" s="6" t="s">
        <v>30</v>
      </c>
      <c r="J106" s="6" t="s">
        <v>31</v>
      </c>
      <c r="K106" s="6" t="s">
        <v>32</v>
      </c>
      <c r="L106" s="54" t="s">
        <v>23</v>
      </c>
      <c r="M106" s="54">
        <v>5.5</v>
      </c>
      <c r="N106" s="54" t="s">
        <v>24</v>
      </c>
      <c r="O106" s="54">
        <v>1</v>
      </c>
      <c r="P106" t="e">
        <f xml:space="preserve"> LOOKUP(A106,#REF!,#REF!)</f>
        <v>#REF!</v>
      </c>
    </row>
    <row r="107" spans="1:16" hidden="1" x14ac:dyDescent="0.25">
      <c r="A107" s="4">
        <v>10027</v>
      </c>
      <c r="B107" s="5" t="s">
        <v>79</v>
      </c>
      <c r="C107" s="5" t="s">
        <v>78</v>
      </c>
      <c r="D107" s="5" t="s">
        <v>37</v>
      </c>
      <c r="E107" s="6" t="s">
        <v>18</v>
      </c>
      <c r="F107" s="9">
        <v>12</v>
      </c>
      <c r="G107" s="9">
        <v>54</v>
      </c>
      <c r="H107" s="6" t="s">
        <v>38</v>
      </c>
      <c r="I107" s="6" t="s">
        <v>30</v>
      </c>
      <c r="J107" s="6" t="s">
        <v>31</v>
      </c>
      <c r="K107" s="6" t="s">
        <v>32</v>
      </c>
      <c r="L107" s="54" t="s">
        <v>23</v>
      </c>
      <c r="M107" s="54">
        <v>200</v>
      </c>
      <c r="N107" s="54" t="s">
        <v>24</v>
      </c>
      <c r="O107" s="54">
        <v>1</v>
      </c>
      <c r="P107" t="e">
        <f xml:space="preserve"> LOOKUP(A107,#REF!,#REF!)</f>
        <v>#REF!</v>
      </c>
    </row>
    <row r="108" spans="1:16" hidden="1" x14ac:dyDescent="0.25">
      <c r="A108" s="4">
        <v>10027</v>
      </c>
      <c r="B108" s="5" t="s">
        <v>79</v>
      </c>
      <c r="C108" s="5" t="s">
        <v>78</v>
      </c>
      <c r="D108" s="5" t="s">
        <v>37</v>
      </c>
      <c r="E108" s="6" t="s">
        <v>18</v>
      </c>
      <c r="F108" s="9">
        <v>12</v>
      </c>
      <c r="G108" s="9">
        <v>54</v>
      </c>
      <c r="H108" s="6" t="s">
        <v>27</v>
      </c>
      <c r="I108" s="6" t="s">
        <v>20</v>
      </c>
      <c r="J108" s="6" t="s">
        <v>28</v>
      </c>
      <c r="K108" s="6" t="s">
        <v>29</v>
      </c>
      <c r="L108" s="54" t="s">
        <v>23</v>
      </c>
      <c r="M108" s="54">
        <v>120</v>
      </c>
      <c r="N108" s="54" t="s">
        <v>24</v>
      </c>
      <c r="O108" s="54">
        <v>1</v>
      </c>
      <c r="P108" t="e">
        <f xml:space="preserve"> LOOKUP(A108,#REF!,#REF!)</f>
        <v>#REF!</v>
      </c>
    </row>
    <row r="109" spans="1:16" hidden="1" x14ac:dyDescent="0.25">
      <c r="A109" s="4">
        <v>10027</v>
      </c>
      <c r="B109" s="5" t="s">
        <v>79</v>
      </c>
      <c r="C109" s="5" t="s">
        <v>78</v>
      </c>
      <c r="D109" s="5" t="s">
        <v>37</v>
      </c>
      <c r="E109" s="6" t="s">
        <v>18</v>
      </c>
      <c r="F109" s="9">
        <v>12</v>
      </c>
      <c r="G109" s="9">
        <v>54</v>
      </c>
      <c r="H109" s="6" t="s">
        <v>19</v>
      </c>
      <c r="I109" s="6" t="s">
        <v>30</v>
      </c>
      <c r="J109" s="6" t="s">
        <v>31</v>
      </c>
      <c r="K109" s="6" t="s">
        <v>32</v>
      </c>
      <c r="L109" s="54" t="s">
        <v>23</v>
      </c>
      <c r="M109" s="54">
        <v>8</v>
      </c>
      <c r="N109" s="54" t="s">
        <v>24</v>
      </c>
      <c r="O109" s="54">
        <v>1</v>
      </c>
      <c r="P109" t="e">
        <f xml:space="preserve"> LOOKUP(A109,#REF!,#REF!)</f>
        <v>#REF!</v>
      </c>
    </row>
    <row r="110" spans="1:16" hidden="1" x14ac:dyDescent="0.25">
      <c r="A110" s="4">
        <v>10028</v>
      </c>
      <c r="B110" s="5" t="s">
        <v>80</v>
      </c>
      <c r="C110" s="5" t="s">
        <v>78</v>
      </c>
      <c r="D110" s="5" t="s">
        <v>37</v>
      </c>
      <c r="E110" s="6" t="s">
        <v>18</v>
      </c>
      <c r="F110" s="9">
        <v>12</v>
      </c>
      <c r="G110" s="9">
        <v>54</v>
      </c>
      <c r="H110" s="6" t="s">
        <v>27</v>
      </c>
      <c r="I110" s="6" t="s">
        <v>20</v>
      </c>
      <c r="J110" s="6" t="s">
        <v>28</v>
      </c>
      <c r="K110" s="6" t="s">
        <v>29</v>
      </c>
      <c r="L110" s="54" t="s">
        <v>23</v>
      </c>
      <c r="M110" s="54">
        <v>290</v>
      </c>
      <c r="N110" s="54" t="s">
        <v>24</v>
      </c>
      <c r="O110" s="54">
        <v>1</v>
      </c>
      <c r="P110" t="e">
        <f xml:space="preserve"> LOOKUP(A110,#REF!,#REF!)</f>
        <v>#REF!</v>
      </c>
    </row>
    <row r="111" spans="1:16" hidden="1" x14ac:dyDescent="0.25">
      <c r="A111" s="4">
        <v>10028</v>
      </c>
      <c r="B111" s="5" t="s">
        <v>80</v>
      </c>
      <c r="C111" s="5" t="s">
        <v>78</v>
      </c>
      <c r="D111" s="5" t="s">
        <v>37</v>
      </c>
      <c r="E111" s="6" t="s">
        <v>18</v>
      </c>
      <c r="F111" s="9">
        <v>12</v>
      </c>
      <c r="G111" s="9">
        <v>54</v>
      </c>
      <c r="H111" s="6" t="s">
        <v>38</v>
      </c>
      <c r="I111" s="6" t="s">
        <v>30</v>
      </c>
      <c r="J111" s="6" t="s">
        <v>31</v>
      </c>
      <c r="K111" s="6" t="s">
        <v>32</v>
      </c>
      <c r="L111" s="54" t="s">
        <v>23</v>
      </c>
      <c r="M111" s="54">
        <v>200</v>
      </c>
      <c r="N111" s="54" t="s">
        <v>24</v>
      </c>
      <c r="O111" s="54">
        <v>1</v>
      </c>
      <c r="P111" t="e">
        <f xml:space="preserve"> LOOKUP(A111,#REF!,#REF!)</f>
        <v>#REF!</v>
      </c>
    </row>
    <row r="112" spans="1:16" hidden="1" x14ac:dyDescent="0.25">
      <c r="A112" s="4">
        <v>10028</v>
      </c>
      <c r="B112" s="5" t="s">
        <v>80</v>
      </c>
      <c r="C112" s="5" t="s">
        <v>78</v>
      </c>
      <c r="D112" s="5" t="s">
        <v>37</v>
      </c>
      <c r="E112" s="6" t="s">
        <v>18</v>
      </c>
      <c r="F112" s="9">
        <v>12</v>
      </c>
      <c r="G112" s="9">
        <v>54</v>
      </c>
      <c r="H112" s="6" t="s">
        <v>19</v>
      </c>
      <c r="I112" s="6" t="s">
        <v>30</v>
      </c>
      <c r="J112" s="6" t="s">
        <v>31</v>
      </c>
      <c r="K112" s="6" t="s">
        <v>32</v>
      </c>
      <c r="L112" s="54" t="s">
        <v>23</v>
      </c>
      <c r="M112" s="54">
        <v>8</v>
      </c>
      <c r="N112" s="54" t="s">
        <v>24</v>
      </c>
      <c r="O112" s="54">
        <v>1</v>
      </c>
      <c r="P112" t="e">
        <f xml:space="preserve"> LOOKUP(A112,#REF!,#REF!)</f>
        <v>#REF!</v>
      </c>
    </row>
    <row r="113" spans="1:16" hidden="1" x14ac:dyDescent="0.25">
      <c r="A113" s="4">
        <v>10037</v>
      </c>
      <c r="B113" s="5" t="s">
        <v>41</v>
      </c>
      <c r="C113" s="5" t="s">
        <v>42</v>
      </c>
      <c r="D113" s="5" t="s">
        <v>37</v>
      </c>
      <c r="E113" s="6" t="s">
        <v>18</v>
      </c>
      <c r="F113" s="7">
        <v>8</v>
      </c>
      <c r="G113" s="7">
        <v>63</v>
      </c>
      <c r="H113" s="6" t="s">
        <v>38</v>
      </c>
      <c r="I113" s="6" t="s">
        <v>30</v>
      </c>
      <c r="J113" s="6" t="s">
        <v>31</v>
      </c>
      <c r="K113" s="6" t="s">
        <v>32</v>
      </c>
      <c r="L113" s="54" t="s">
        <v>23</v>
      </c>
      <c r="M113" s="54">
        <v>200</v>
      </c>
      <c r="N113" s="54" t="s">
        <v>24</v>
      </c>
      <c r="O113" s="54">
        <v>1</v>
      </c>
      <c r="P113" t="e">
        <f xml:space="preserve"> LOOKUP(A113,#REF!,#REF!)</f>
        <v>#REF!</v>
      </c>
    </row>
    <row r="114" spans="1:16" hidden="1" x14ac:dyDescent="0.25">
      <c r="A114" s="4">
        <v>10037</v>
      </c>
      <c r="B114" s="5" t="s">
        <v>41</v>
      </c>
      <c r="C114" s="5" t="s">
        <v>42</v>
      </c>
      <c r="D114" s="5" t="s">
        <v>37</v>
      </c>
      <c r="E114" s="6" t="s">
        <v>18</v>
      </c>
      <c r="F114" s="7">
        <v>8</v>
      </c>
      <c r="G114" s="7">
        <v>63</v>
      </c>
      <c r="H114" s="6" t="s">
        <v>27</v>
      </c>
      <c r="I114" s="6" t="s">
        <v>30</v>
      </c>
      <c r="J114" s="6" t="s">
        <v>31</v>
      </c>
      <c r="K114" s="6" t="s">
        <v>32</v>
      </c>
      <c r="L114" s="54" t="s">
        <v>23</v>
      </c>
      <c r="M114" s="54">
        <v>45.36</v>
      </c>
      <c r="N114" s="54" t="s">
        <v>24</v>
      </c>
      <c r="O114" s="54">
        <v>1</v>
      </c>
      <c r="P114" t="e">
        <f xml:space="preserve"> LOOKUP(A114,#REF!,#REF!)</f>
        <v>#REF!</v>
      </c>
    </row>
    <row r="115" spans="1:16" hidden="1" x14ac:dyDescent="0.25">
      <c r="A115" s="4">
        <v>10037</v>
      </c>
      <c r="B115" s="5" t="s">
        <v>41</v>
      </c>
      <c r="C115" s="5" t="s">
        <v>42</v>
      </c>
      <c r="D115" s="5" t="s">
        <v>37</v>
      </c>
      <c r="E115" s="6" t="s">
        <v>18</v>
      </c>
      <c r="F115" s="7">
        <v>8</v>
      </c>
      <c r="G115" s="7">
        <v>63</v>
      </c>
      <c r="H115" s="6" t="s">
        <v>19</v>
      </c>
      <c r="I115" s="8" t="s">
        <v>20</v>
      </c>
      <c r="J115" s="8" t="s">
        <v>21</v>
      </c>
      <c r="K115" s="6" t="s">
        <v>43</v>
      </c>
      <c r="L115" s="54" t="s">
        <v>23</v>
      </c>
      <c r="M115" s="54">
        <v>14.84</v>
      </c>
      <c r="N115" s="54" t="s">
        <v>24</v>
      </c>
      <c r="O115" s="54">
        <v>1</v>
      </c>
      <c r="P115" t="e">
        <f xml:space="preserve"> LOOKUP(A115,#REF!,#REF!)</f>
        <v>#REF!</v>
      </c>
    </row>
    <row r="116" spans="1:16" hidden="1" x14ac:dyDescent="0.25">
      <c r="A116" s="4">
        <v>10038</v>
      </c>
      <c r="B116" s="5" t="s">
        <v>44</v>
      </c>
      <c r="C116" s="5" t="s">
        <v>42</v>
      </c>
      <c r="D116" s="5" t="s">
        <v>37</v>
      </c>
      <c r="E116" s="6" t="s">
        <v>18</v>
      </c>
      <c r="F116" s="7">
        <v>8</v>
      </c>
      <c r="G116" s="7">
        <v>63</v>
      </c>
      <c r="H116" s="6" t="s">
        <v>38</v>
      </c>
      <c r="I116" s="6" t="s">
        <v>30</v>
      </c>
      <c r="J116" s="6" t="s">
        <v>31</v>
      </c>
      <c r="K116" s="6" t="s">
        <v>32</v>
      </c>
      <c r="L116" s="54" t="s">
        <v>23</v>
      </c>
      <c r="M116" s="54">
        <v>200</v>
      </c>
      <c r="N116" s="54" t="s">
        <v>24</v>
      </c>
      <c r="O116" s="54">
        <v>1</v>
      </c>
      <c r="P116" t="e">
        <f xml:space="preserve"> LOOKUP(A116,#REF!,#REF!)</f>
        <v>#REF!</v>
      </c>
    </row>
    <row r="117" spans="1:16" hidden="1" x14ac:dyDescent="0.25">
      <c r="A117" s="4">
        <v>10038</v>
      </c>
      <c r="B117" s="5" t="s">
        <v>44</v>
      </c>
      <c r="C117" s="5" t="s">
        <v>42</v>
      </c>
      <c r="D117" s="5" t="s">
        <v>37</v>
      </c>
      <c r="E117" s="6" t="s">
        <v>18</v>
      </c>
      <c r="F117" s="7">
        <v>8</v>
      </c>
      <c r="G117" s="7">
        <v>63</v>
      </c>
      <c r="H117" s="6" t="s">
        <v>27</v>
      </c>
      <c r="I117" s="6" t="s">
        <v>30</v>
      </c>
      <c r="J117" s="6" t="s">
        <v>31</v>
      </c>
      <c r="K117" s="6" t="s">
        <v>32</v>
      </c>
      <c r="L117" s="54" t="s">
        <v>23</v>
      </c>
      <c r="M117" s="54">
        <v>45.36</v>
      </c>
      <c r="N117" s="54" t="s">
        <v>24</v>
      </c>
      <c r="O117" s="54">
        <v>1</v>
      </c>
      <c r="P117" t="e">
        <f xml:space="preserve"> LOOKUP(A117,#REF!,#REF!)</f>
        <v>#REF!</v>
      </c>
    </row>
    <row r="118" spans="1:16" hidden="1" x14ac:dyDescent="0.25">
      <c r="A118" s="4">
        <v>10038</v>
      </c>
      <c r="B118" s="5" t="s">
        <v>44</v>
      </c>
      <c r="C118" s="5" t="s">
        <v>42</v>
      </c>
      <c r="D118" s="5" t="s">
        <v>37</v>
      </c>
      <c r="E118" s="6" t="s">
        <v>18</v>
      </c>
      <c r="F118" s="7">
        <v>8</v>
      </c>
      <c r="G118" s="7">
        <v>63</v>
      </c>
      <c r="H118" s="6" t="s">
        <v>19</v>
      </c>
      <c r="I118" s="8" t="s">
        <v>20</v>
      </c>
      <c r="J118" s="8" t="s">
        <v>21</v>
      </c>
      <c r="K118" s="6" t="s">
        <v>43</v>
      </c>
      <c r="L118" s="54" t="s">
        <v>23</v>
      </c>
      <c r="M118" s="54">
        <v>14.84</v>
      </c>
      <c r="N118" s="54" t="s">
        <v>24</v>
      </c>
      <c r="O118" s="54">
        <v>1</v>
      </c>
      <c r="P118" t="e">
        <f xml:space="preserve"> LOOKUP(A118,#REF!,#REF!)</f>
        <v>#REF!</v>
      </c>
    </row>
    <row r="119" spans="1:16" hidden="1" x14ac:dyDescent="0.25">
      <c r="A119" s="4">
        <v>10039</v>
      </c>
      <c r="B119" s="5" t="s">
        <v>45</v>
      </c>
      <c r="C119" s="5" t="s">
        <v>42</v>
      </c>
      <c r="D119" s="5" t="s">
        <v>37</v>
      </c>
      <c r="E119" s="6" t="s">
        <v>18</v>
      </c>
      <c r="F119" s="7">
        <v>8</v>
      </c>
      <c r="G119" s="7">
        <v>63</v>
      </c>
      <c r="H119" s="6" t="s">
        <v>38</v>
      </c>
      <c r="I119" s="6" t="s">
        <v>30</v>
      </c>
      <c r="J119" s="6" t="s">
        <v>31</v>
      </c>
      <c r="K119" s="6" t="s">
        <v>32</v>
      </c>
      <c r="L119" s="54" t="s">
        <v>23</v>
      </c>
      <c r="M119" s="54">
        <v>200</v>
      </c>
      <c r="N119" s="54" t="s">
        <v>24</v>
      </c>
      <c r="O119" s="54">
        <v>1</v>
      </c>
      <c r="P119" t="e">
        <f xml:space="preserve"> LOOKUP(A119,#REF!,#REF!)</f>
        <v>#REF!</v>
      </c>
    </row>
    <row r="120" spans="1:16" hidden="1" x14ac:dyDescent="0.25">
      <c r="A120" s="4">
        <v>10039</v>
      </c>
      <c r="B120" s="5" t="s">
        <v>45</v>
      </c>
      <c r="C120" s="5" t="s">
        <v>42</v>
      </c>
      <c r="D120" s="5" t="s">
        <v>37</v>
      </c>
      <c r="E120" s="6" t="s">
        <v>18</v>
      </c>
      <c r="F120" s="7">
        <v>8</v>
      </c>
      <c r="G120" s="7">
        <v>63</v>
      </c>
      <c r="H120" s="6" t="s">
        <v>27</v>
      </c>
      <c r="I120" s="6" t="s">
        <v>30</v>
      </c>
      <c r="J120" s="6" t="s">
        <v>31</v>
      </c>
      <c r="K120" s="6" t="s">
        <v>32</v>
      </c>
      <c r="L120" s="54" t="s">
        <v>23</v>
      </c>
      <c r="M120" s="54">
        <v>45.36</v>
      </c>
      <c r="N120" s="54" t="s">
        <v>24</v>
      </c>
      <c r="O120" s="54">
        <v>1</v>
      </c>
      <c r="P120" t="e">
        <f xml:space="preserve"> LOOKUP(A120,#REF!,#REF!)</f>
        <v>#REF!</v>
      </c>
    </row>
    <row r="121" spans="1:16" hidden="1" x14ac:dyDescent="0.25">
      <c r="A121" s="4">
        <v>10039</v>
      </c>
      <c r="B121" s="5" t="s">
        <v>45</v>
      </c>
      <c r="C121" s="5" t="s">
        <v>42</v>
      </c>
      <c r="D121" s="5" t="s">
        <v>37</v>
      </c>
      <c r="E121" s="6" t="s">
        <v>18</v>
      </c>
      <c r="F121" s="7">
        <v>8</v>
      </c>
      <c r="G121" s="7">
        <v>63</v>
      </c>
      <c r="H121" s="6" t="s">
        <v>19</v>
      </c>
      <c r="I121" s="8" t="s">
        <v>20</v>
      </c>
      <c r="J121" s="8" t="s">
        <v>21</v>
      </c>
      <c r="K121" s="6" t="s">
        <v>43</v>
      </c>
      <c r="L121" s="54" t="s">
        <v>23</v>
      </c>
      <c r="M121" s="54">
        <v>14.84</v>
      </c>
      <c r="N121" s="54" t="s">
        <v>24</v>
      </c>
      <c r="O121" s="54">
        <v>1</v>
      </c>
      <c r="P121" t="e">
        <f xml:space="preserve"> LOOKUP(A121,#REF!,#REF!)</f>
        <v>#REF!</v>
      </c>
    </row>
    <row r="122" spans="1:16" hidden="1" x14ac:dyDescent="0.25">
      <c r="A122" s="4">
        <v>10050</v>
      </c>
      <c r="B122" s="5" t="s">
        <v>65</v>
      </c>
      <c r="C122" s="5" t="s">
        <v>66</v>
      </c>
      <c r="D122" s="5" t="s">
        <v>67</v>
      </c>
      <c r="E122" s="5" t="s">
        <v>18</v>
      </c>
      <c r="F122" s="7">
        <v>12</v>
      </c>
      <c r="G122" s="7">
        <v>68</v>
      </c>
      <c r="H122" s="8" t="s">
        <v>27</v>
      </c>
      <c r="I122" s="8" t="s">
        <v>20</v>
      </c>
      <c r="J122" s="8" t="s">
        <v>28</v>
      </c>
      <c r="K122" s="6" t="s">
        <v>29</v>
      </c>
      <c r="L122" s="54" t="s">
        <v>23</v>
      </c>
      <c r="M122" s="54">
        <v>180</v>
      </c>
      <c r="N122" s="54" t="s">
        <v>24</v>
      </c>
      <c r="O122" s="54">
        <v>1</v>
      </c>
      <c r="P122" t="e">
        <f xml:space="preserve"> LOOKUP(A122,#REF!,#REF!)</f>
        <v>#REF!</v>
      </c>
    </row>
    <row r="123" spans="1:16" hidden="1" x14ac:dyDescent="0.25">
      <c r="A123" s="4">
        <v>10050</v>
      </c>
      <c r="B123" s="5" t="s">
        <v>65</v>
      </c>
      <c r="C123" s="5" t="s">
        <v>66</v>
      </c>
      <c r="D123" s="5" t="s">
        <v>67</v>
      </c>
      <c r="E123" s="5" t="s">
        <v>18</v>
      </c>
      <c r="F123" s="7">
        <v>12</v>
      </c>
      <c r="G123" s="7">
        <v>68</v>
      </c>
      <c r="H123" s="8" t="s">
        <v>19</v>
      </c>
      <c r="I123" s="6" t="s">
        <v>68</v>
      </c>
      <c r="J123" s="6" t="s">
        <v>69</v>
      </c>
      <c r="K123" s="6" t="s">
        <v>70</v>
      </c>
      <c r="L123" s="54" t="s">
        <v>23</v>
      </c>
      <c r="M123" s="54">
        <v>17</v>
      </c>
      <c r="N123" s="54" t="s">
        <v>24</v>
      </c>
      <c r="O123" s="54">
        <v>1</v>
      </c>
      <c r="P123" t="e">
        <f xml:space="preserve"> LOOKUP(A123,#REF!,#REF!)</f>
        <v>#REF!</v>
      </c>
    </row>
    <row r="124" spans="1:16" hidden="1" x14ac:dyDescent="0.25">
      <c r="A124" s="4">
        <v>10050</v>
      </c>
      <c r="B124" s="5" t="s">
        <v>65</v>
      </c>
      <c r="C124" s="5" t="s">
        <v>66</v>
      </c>
      <c r="D124" s="5" t="s">
        <v>67</v>
      </c>
      <c r="E124" s="5" t="s">
        <v>18</v>
      </c>
      <c r="F124" s="7">
        <v>12</v>
      </c>
      <c r="G124" s="7">
        <v>68</v>
      </c>
      <c r="H124" s="8" t="s">
        <v>19</v>
      </c>
      <c r="I124" s="6" t="s">
        <v>68</v>
      </c>
      <c r="J124" s="6" t="s">
        <v>71</v>
      </c>
      <c r="K124" s="6" t="s">
        <v>70</v>
      </c>
      <c r="L124" s="54" t="s">
        <v>23</v>
      </c>
      <c r="M124" s="54">
        <v>10.199999999999999</v>
      </c>
      <c r="N124" s="54" t="s">
        <v>24</v>
      </c>
      <c r="O124" s="54">
        <v>1</v>
      </c>
      <c r="P124" t="e">
        <f xml:space="preserve"> LOOKUP(A124,#REF!,#REF!)</f>
        <v>#REF!</v>
      </c>
    </row>
    <row r="125" spans="1:16" hidden="1" x14ac:dyDescent="0.25">
      <c r="A125" s="4">
        <v>10050</v>
      </c>
      <c r="B125" s="5" t="s">
        <v>65</v>
      </c>
      <c r="C125" s="5" t="s">
        <v>66</v>
      </c>
      <c r="D125" s="5" t="s">
        <v>67</v>
      </c>
      <c r="E125" s="5" t="s">
        <v>18</v>
      </c>
      <c r="F125" s="7">
        <v>12</v>
      </c>
      <c r="G125" s="7">
        <v>68</v>
      </c>
      <c r="H125" s="8" t="s">
        <v>19</v>
      </c>
      <c r="I125" s="6" t="s">
        <v>68</v>
      </c>
      <c r="J125" s="6" t="s">
        <v>72</v>
      </c>
      <c r="K125" s="6" t="s">
        <v>70</v>
      </c>
      <c r="L125" s="54" t="s">
        <v>23</v>
      </c>
      <c r="M125" s="54">
        <v>6.8000000000000007</v>
      </c>
      <c r="N125" s="54" t="s">
        <v>24</v>
      </c>
      <c r="O125" s="54">
        <v>1</v>
      </c>
      <c r="P125" t="e">
        <f xml:space="preserve"> LOOKUP(A125,#REF!,#REF!)</f>
        <v>#REF!</v>
      </c>
    </row>
    <row r="126" spans="1:16" x14ac:dyDescent="0.25">
      <c r="A126" s="4">
        <v>10050</v>
      </c>
      <c r="B126" s="5" t="s">
        <v>65</v>
      </c>
      <c r="C126" s="5" t="s">
        <v>66</v>
      </c>
      <c r="D126" s="5" t="s">
        <v>67</v>
      </c>
      <c r="E126" s="5" t="s">
        <v>18</v>
      </c>
      <c r="F126" s="7">
        <v>12</v>
      </c>
      <c r="G126" s="7">
        <v>68</v>
      </c>
      <c r="H126" s="8" t="s">
        <v>19</v>
      </c>
      <c r="I126" s="6" t="s">
        <v>30</v>
      </c>
      <c r="J126" s="8" t="s">
        <v>73</v>
      </c>
      <c r="K126" s="6" t="s">
        <v>74</v>
      </c>
      <c r="L126" s="54" t="s">
        <v>23</v>
      </c>
      <c r="M126" s="54">
        <v>3</v>
      </c>
      <c r="N126" s="54" t="s">
        <v>24</v>
      </c>
      <c r="O126" s="54">
        <v>1</v>
      </c>
      <c r="P126" t="e">
        <f xml:space="preserve"> LOOKUP(A126,#REF!,#REF!)</f>
        <v>#REF!</v>
      </c>
    </row>
    <row r="127" spans="1:16" hidden="1" x14ac:dyDescent="0.25">
      <c r="A127" s="4">
        <v>10051</v>
      </c>
      <c r="B127" s="5" t="s">
        <v>75</v>
      </c>
      <c r="C127" s="5" t="s">
        <v>66</v>
      </c>
      <c r="D127" s="5" t="s">
        <v>67</v>
      </c>
      <c r="E127" s="5" t="s">
        <v>18</v>
      </c>
      <c r="F127" s="7">
        <v>12</v>
      </c>
      <c r="G127" s="7">
        <v>68</v>
      </c>
      <c r="H127" s="8" t="s">
        <v>27</v>
      </c>
      <c r="I127" s="8" t="s">
        <v>20</v>
      </c>
      <c r="J127" s="8" t="s">
        <v>28</v>
      </c>
      <c r="K127" s="6" t="s">
        <v>29</v>
      </c>
      <c r="L127" s="54" t="s">
        <v>23</v>
      </c>
      <c r="M127" s="54">
        <v>180</v>
      </c>
      <c r="N127" s="54" t="s">
        <v>24</v>
      </c>
      <c r="O127" s="54">
        <v>1</v>
      </c>
      <c r="P127" t="e">
        <f xml:space="preserve"> LOOKUP(A127,#REF!,#REF!)</f>
        <v>#REF!</v>
      </c>
    </row>
    <row r="128" spans="1:16" hidden="1" x14ac:dyDescent="0.25">
      <c r="A128" s="4">
        <v>10051</v>
      </c>
      <c r="B128" s="5" t="s">
        <v>75</v>
      </c>
      <c r="C128" s="5" t="s">
        <v>66</v>
      </c>
      <c r="D128" s="5" t="s">
        <v>67</v>
      </c>
      <c r="E128" s="5" t="s">
        <v>18</v>
      </c>
      <c r="F128" s="7">
        <v>12</v>
      </c>
      <c r="G128" s="7">
        <v>68</v>
      </c>
      <c r="H128" s="8" t="s">
        <v>19</v>
      </c>
      <c r="I128" s="6" t="s">
        <v>68</v>
      </c>
      <c r="J128" s="6" t="s">
        <v>69</v>
      </c>
      <c r="K128" s="6" t="s">
        <v>70</v>
      </c>
      <c r="L128" s="54" t="s">
        <v>23</v>
      </c>
      <c r="M128" s="54">
        <v>17</v>
      </c>
      <c r="N128" s="54" t="s">
        <v>24</v>
      </c>
      <c r="O128" s="54">
        <v>1</v>
      </c>
      <c r="P128" t="e">
        <f xml:space="preserve"> LOOKUP(A128,#REF!,#REF!)</f>
        <v>#REF!</v>
      </c>
    </row>
    <row r="129" spans="1:16" hidden="1" x14ac:dyDescent="0.25">
      <c r="A129" s="4">
        <v>10051</v>
      </c>
      <c r="B129" s="5" t="s">
        <v>75</v>
      </c>
      <c r="C129" s="5" t="s">
        <v>66</v>
      </c>
      <c r="D129" s="5" t="s">
        <v>67</v>
      </c>
      <c r="E129" s="5" t="s">
        <v>18</v>
      </c>
      <c r="F129" s="7">
        <v>12</v>
      </c>
      <c r="G129" s="7">
        <v>68</v>
      </c>
      <c r="H129" s="8" t="s">
        <v>19</v>
      </c>
      <c r="I129" s="6" t="s">
        <v>68</v>
      </c>
      <c r="J129" s="6" t="s">
        <v>71</v>
      </c>
      <c r="K129" s="6" t="s">
        <v>70</v>
      </c>
      <c r="L129" s="54" t="s">
        <v>23</v>
      </c>
      <c r="M129" s="54">
        <v>10.199999999999999</v>
      </c>
      <c r="N129" s="54" t="s">
        <v>24</v>
      </c>
      <c r="O129" s="54">
        <v>1</v>
      </c>
      <c r="P129" t="e">
        <f xml:space="preserve"> LOOKUP(A129,#REF!,#REF!)</f>
        <v>#REF!</v>
      </c>
    </row>
    <row r="130" spans="1:16" hidden="1" x14ac:dyDescent="0.25">
      <c r="A130" s="4">
        <v>10051</v>
      </c>
      <c r="B130" s="5" t="s">
        <v>75</v>
      </c>
      <c r="C130" s="5" t="s">
        <v>66</v>
      </c>
      <c r="D130" s="5" t="s">
        <v>67</v>
      </c>
      <c r="E130" s="5" t="s">
        <v>18</v>
      </c>
      <c r="F130" s="7">
        <v>12</v>
      </c>
      <c r="G130" s="7">
        <v>68</v>
      </c>
      <c r="H130" s="8" t="s">
        <v>19</v>
      </c>
      <c r="I130" s="6" t="s">
        <v>68</v>
      </c>
      <c r="J130" s="6" t="s">
        <v>72</v>
      </c>
      <c r="K130" s="6" t="s">
        <v>70</v>
      </c>
      <c r="L130" s="54" t="s">
        <v>23</v>
      </c>
      <c r="M130" s="54">
        <v>6.8000000000000007</v>
      </c>
      <c r="N130" s="54" t="s">
        <v>24</v>
      </c>
      <c r="O130" s="54">
        <v>1</v>
      </c>
      <c r="P130" t="e">
        <f xml:space="preserve"> LOOKUP(A130,#REF!,#REF!)</f>
        <v>#REF!</v>
      </c>
    </row>
    <row r="131" spans="1:16" x14ac:dyDescent="0.25">
      <c r="A131" s="4">
        <v>10051</v>
      </c>
      <c r="B131" s="5" t="s">
        <v>75</v>
      </c>
      <c r="C131" s="5" t="s">
        <v>66</v>
      </c>
      <c r="D131" s="5" t="s">
        <v>67</v>
      </c>
      <c r="E131" s="5" t="s">
        <v>18</v>
      </c>
      <c r="F131" s="7">
        <v>12</v>
      </c>
      <c r="G131" s="7">
        <v>68</v>
      </c>
      <c r="H131" s="8" t="s">
        <v>19</v>
      </c>
      <c r="I131" s="6" t="s">
        <v>30</v>
      </c>
      <c r="J131" s="8" t="s">
        <v>73</v>
      </c>
      <c r="K131" s="6" t="s">
        <v>74</v>
      </c>
      <c r="L131" s="54" t="s">
        <v>23</v>
      </c>
      <c r="M131" s="54">
        <v>3</v>
      </c>
      <c r="N131" s="54" t="s">
        <v>24</v>
      </c>
      <c r="O131" s="54">
        <v>1</v>
      </c>
      <c r="P131" t="e">
        <f xml:space="preserve"> LOOKUP(A131,#REF!,#REF!)</f>
        <v>#REF!</v>
      </c>
    </row>
    <row r="132" spans="1:16" hidden="1" x14ac:dyDescent="0.25">
      <c r="A132" s="4">
        <v>10052</v>
      </c>
      <c r="B132" s="5" t="s">
        <v>76</v>
      </c>
      <c r="C132" s="5" t="s">
        <v>66</v>
      </c>
      <c r="D132" s="5" t="s">
        <v>67</v>
      </c>
      <c r="E132" s="5" t="s">
        <v>18</v>
      </c>
      <c r="F132" s="7">
        <v>12</v>
      </c>
      <c r="G132" s="7">
        <v>68</v>
      </c>
      <c r="H132" s="8" t="s">
        <v>27</v>
      </c>
      <c r="I132" s="8" t="s">
        <v>20</v>
      </c>
      <c r="J132" s="8" t="s">
        <v>28</v>
      </c>
      <c r="K132" s="6" t="s">
        <v>29</v>
      </c>
      <c r="L132" s="54" t="s">
        <v>23</v>
      </c>
      <c r="M132" s="54">
        <v>180</v>
      </c>
      <c r="N132" s="54" t="s">
        <v>24</v>
      </c>
      <c r="O132" s="54">
        <v>1</v>
      </c>
      <c r="P132" t="e">
        <f xml:space="preserve"> LOOKUP(A132,#REF!,#REF!)</f>
        <v>#REF!</v>
      </c>
    </row>
    <row r="133" spans="1:16" hidden="1" x14ac:dyDescent="0.25">
      <c r="A133" s="4">
        <v>10052</v>
      </c>
      <c r="B133" s="5" t="s">
        <v>76</v>
      </c>
      <c r="C133" s="5" t="s">
        <v>66</v>
      </c>
      <c r="D133" s="5" t="s">
        <v>67</v>
      </c>
      <c r="E133" s="5" t="s">
        <v>18</v>
      </c>
      <c r="F133" s="7">
        <v>12</v>
      </c>
      <c r="G133" s="7">
        <v>68</v>
      </c>
      <c r="H133" s="8" t="s">
        <v>19</v>
      </c>
      <c r="I133" s="6" t="s">
        <v>68</v>
      </c>
      <c r="J133" s="6" t="s">
        <v>69</v>
      </c>
      <c r="K133" s="6" t="s">
        <v>70</v>
      </c>
      <c r="L133" s="54" t="s">
        <v>23</v>
      </c>
      <c r="M133" s="54">
        <v>17</v>
      </c>
      <c r="N133" s="54" t="s">
        <v>24</v>
      </c>
      <c r="O133" s="54">
        <v>1</v>
      </c>
      <c r="P133" t="e">
        <f xml:space="preserve"> LOOKUP(A133,#REF!,#REF!)</f>
        <v>#REF!</v>
      </c>
    </row>
    <row r="134" spans="1:16" hidden="1" x14ac:dyDescent="0.25">
      <c r="A134" s="4">
        <v>10052</v>
      </c>
      <c r="B134" s="5" t="s">
        <v>76</v>
      </c>
      <c r="C134" s="5" t="s">
        <v>66</v>
      </c>
      <c r="D134" s="5" t="s">
        <v>67</v>
      </c>
      <c r="E134" s="5" t="s">
        <v>18</v>
      </c>
      <c r="F134" s="7">
        <v>12</v>
      </c>
      <c r="G134" s="7">
        <v>68</v>
      </c>
      <c r="H134" s="8" t="s">
        <v>19</v>
      </c>
      <c r="I134" s="6" t="s">
        <v>68</v>
      </c>
      <c r="J134" s="6" t="s">
        <v>71</v>
      </c>
      <c r="K134" s="6" t="s">
        <v>70</v>
      </c>
      <c r="L134" s="54" t="s">
        <v>23</v>
      </c>
      <c r="M134" s="54">
        <v>10.199999999999999</v>
      </c>
      <c r="N134" s="54" t="s">
        <v>24</v>
      </c>
      <c r="O134" s="54">
        <v>1</v>
      </c>
      <c r="P134" t="e">
        <f xml:space="preserve"> LOOKUP(A134,#REF!,#REF!)</f>
        <v>#REF!</v>
      </c>
    </row>
    <row r="135" spans="1:16" hidden="1" x14ac:dyDescent="0.25">
      <c r="A135" s="4">
        <v>10052</v>
      </c>
      <c r="B135" s="5" t="s">
        <v>76</v>
      </c>
      <c r="C135" s="5" t="s">
        <v>66</v>
      </c>
      <c r="D135" s="5" t="s">
        <v>67</v>
      </c>
      <c r="E135" s="5" t="s">
        <v>18</v>
      </c>
      <c r="F135" s="7">
        <v>12</v>
      </c>
      <c r="G135" s="7">
        <v>68</v>
      </c>
      <c r="H135" s="8" t="s">
        <v>19</v>
      </c>
      <c r="I135" s="6" t="s">
        <v>68</v>
      </c>
      <c r="J135" s="6" t="s">
        <v>72</v>
      </c>
      <c r="K135" s="6" t="s">
        <v>70</v>
      </c>
      <c r="L135" s="54" t="s">
        <v>23</v>
      </c>
      <c r="M135" s="54">
        <v>6.8000000000000007</v>
      </c>
      <c r="N135" s="54" t="s">
        <v>24</v>
      </c>
      <c r="O135" s="54">
        <v>1</v>
      </c>
      <c r="P135" t="e">
        <f xml:space="preserve"> LOOKUP(A135,#REF!,#REF!)</f>
        <v>#REF!</v>
      </c>
    </row>
    <row r="136" spans="1:16" x14ac:dyDescent="0.25">
      <c r="A136" s="4">
        <v>10052</v>
      </c>
      <c r="B136" s="5" t="s">
        <v>76</v>
      </c>
      <c r="C136" s="5" t="s">
        <v>66</v>
      </c>
      <c r="D136" s="5" t="s">
        <v>67</v>
      </c>
      <c r="E136" s="5" t="s">
        <v>18</v>
      </c>
      <c r="F136" s="7">
        <v>12</v>
      </c>
      <c r="G136" s="7">
        <v>68</v>
      </c>
      <c r="H136" s="8" t="s">
        <v>19</v>
      </c>
      <c r="I136" s="6" t="s">
        <v>30</v>
      </c>
      <c r="J136" s="8" t="s">
        <v>73</v>
      </c>
      <c r="K136" s="6" t="s">
        <v>74</v>
      </c>
      <c r="L136" s="54" t="s">
        <v>23</v>
      </c>
      <c r="M136" s="54">
        <v>3</v>
      </c>
      <c r="N136" s="54" t="s">
        <v>24</v>
      </c>
      <c r="O136" s="54">
        <v>1</v>
      </c>
      <c r="P136" t="e">
        <f xml:space="preserve"> LOOKUP(A136,#REF!,#REF!)</f>
        <v>#REF!</v>
      </c>
    </row>
    <row r="137" spans="1:16" hidden="1" x14ac:dyDescent="0.25">
      <c r="A137" s="5">
        <v>10096</v>
      </c>
      <c r="B137" s="5" t="s">
        <v>100</v>
      </c>
      <c r="C137" s="5" t="s">
        <v>96</v>
      </c>
      <c r="D137" s="5" t="s">
        <v>37</v>
      </c>
      <c r="E137" s="6" t="s">
        <v>18</v>
      </c>
      <c r="F137" s="10">
        <v>1</v>
      </c>
      <c r="G137" s="10">
        <v>1</v>
      </c>
      <c r="H137" s="8" t="s">
        <v>19</v>
      </c>
      <c r="I137" s="8" t="s">
        <v>20</v>
      </c>
      <c r="J137" s="8" t="s">
        <v>21</v>
      </c>
      <c r="K137" s="6" t="s">
        <v>43</v>
      </c>
      <c r="L137" s="54" t="s">
        <v>23</v>
      </c>
      <c r="M137" s="54">
        <v>152.26</v>
      </c>
      <c r="N137" s="54" t="s">
        <v>24</v>
      </c>
      <c r="O137" s="54">
        <v>1</v>
      </c>
      <c r="P137" t="e">
        <f xml:space="preserve"> LOOKUP(A137,#REF!,#REF!)</f>
        <v>#REF!</v>
      </c>
    </row>
    <row r="138" spans="1:16" hidden="1" x14ac:dyDescent="0.25">
      <c r="A138" s="5">
        <v>10105</v>
      </c>
      <c r="B138" s="5" t="s">
        <v>135</v>
      </c>
      <c r="C138" s="5" t="s">
        <v>136</v>
      </c>
      <c r="D138" s="5" t="s">
        <v>137</v>
      </c>
      <c r="E138" s="6" t="s">
        <v>18</v>
      </c>
      <c r="F138" s="10">
        <v>1</v>
      </c>
      <c r="G138" s="10">
        <v>1</v>
      </c>
      <c r="H138" s="8" t="s">
        <v>19</v>
      </c>
      <c r="I138" s="6" t="s">
        <v>30</v>
      </c>
      <c r="J138" s="6" t="s">
        <v>138</v>
      </c>
      <c r="K138" s="6"/>
      <c r="L138" s="54" t="s">
        <v>23</v>
      </c>
      <c r="M138" s="54">
        <v>363</v>
      </c>
      <c r="N138" s="54" t="s">
        <v>24</v>
      </c>
      <c r="O138" s="54">
        <v>1</v>
      </c>
      <c r="P138" t="e">
        <f xml:space="preserve"> LOOKUP(A138,#REF!,#REF!)</f>
        <v>#REF!</v>
      </c>
    </row>
    <row r="139" spans="1:16" hidden="1" x14ac:dyDescent="0.25">
      <c r="A139" s="5">
        <v>10105</v>
      </c>
      <c r="B139" s="5" t="s">
        <v>135</v>
      </c>
      <c r="C139" s="5" t="s">
        <v>136</v>
      </c>
      <c r="D139" s="5" t="s">
        <v>137</v>
      </c>
      <c r="E139" s="6" t="s">
        <v>18</v>
      </c>
      <c r="F139" s="10">
        <v>1</v>
      </c>
      <c r="G139" s="10">
        <v>1</v>
      </c>
      <c r="H139" s="8" t="s">
        <v>19</v>
      </c>
      <c r="I139" s="8" t="s">
        <v>20</v>
      </c>
      <c r="J139" s="8" t="s">
        <v>28</v>
      </c>
      <c r="K139" s="6" t="s">
        <v>29</v>
      </c>
      <c r="L139" s="54" t="s">
        <v>23</v>
      </c>
      <c r="M139" s="54">
        <v>321</v>
      </c>
      <c r="N139" s="54" t="s">
        <v>24</v>
      </c>
      <c r="O139" s="54">
        <v>1</v>
      </c>
      <c r="P139" t="e">
        <f xml:space="preserve"> LOOKUP(A139,#REF!,#REF!)</f>
        <v>#REF!</v>
      </c>
    </row>
    <row r="140" spans="1:16" hidden="1" x14ac:dyDescent="0.25">
      <c r="A140" s="5">
        <v>10118</v>
      </c>
      <c r="B140" s="5" t="s">
        <v>119</v>
      </c>
      <c r="C140" s="5" t="s">
        <v>117</v>
      </c>
      <c r="D140" s="5" t="s">
        <v>118</v>
      </c>
      <c r="E140" s="6" t="s">
        <v>18</v>
      </c>
      <c r="F140" s="10">
        <v>12</v>
      </c>
      <c r="G140" s="10">
        <v>48</v>
      </c>
      <c r="H140" s="6" t="s">
        <v>27</v>
      </c>
      <c r="I140" s="6" t="s">
        <v>20</v>
      </c>
      <c r="J140" s="6" t="s">
        <v>28</v>
      </c>
      <c r="K140" s="6" t="s">
        <v>29</v>
      </c>
      <c r="L140" s="54" t="s">
        <v>23</v>
      </c>
      <c r="M140" s="54">
        <v>250</v>
      </c>
      <c r="N140" s="54" t="s">
        <v>24</v>
      </c>
      <c r="O140" s="54">
        <v>1</v>
      </c>
      <c r="P140" t="e">
        <f xml:space="preserve"> LOOKUP(A140,#REF!,#REF!)</f>
        <v>#REF!</v>
      </c>
    </row>
    <row r="141" spans="1:16" hidden="1" x14ac:dyDescent="0.25">
      <c r="A141" s="5">
        <v>10118</v>
      </c>
      <c r="B141" s="5" t="s">
        <v>119</v>
      </c>
      <c r="C141" s="5" t="s">
        <v>117</v>
      </c>
      <c r="D141" s="5" t="s">
        <v>118</v>
      </c>
      <c r="E141" s="6" t="s">
        <v>18</v>
      </c>
      <c r="F141" s="10">
        <v>12</v>
      </c>
      <c r="G141" s="10">
        <v>48</v>
      </c>
      <c r="H141" s="6" t="s">
        <v>19</v>
      </c>
      <c r="I141" s="6" t="s">
        <v>20</v>
      </c>
      <c r="J141" s="6" t="s">
        <v>28</v>
      </c>
      <c r="K141" s="6" t="s">
        <v>61</v>
      </c>
      <c r="L141" s="54" t="s">
        <v>23</v>
      </c>
      <c r="M141" s="54">
        <v>37</v>
      </c>
      <c r="N141" s="54" t="s">
        <v>24</v>
      </c>
      <c r="O141" s="54">
        <v>1</v>
      </c>
      <c r="P141" t="e">
        <f xml:space="preserve"> LOOKUP(A141,#REF!,#REF!)</f>
        <v>#REF!</v>
      </c>
    </row>
    <row r="142" spans="1:16" hidden="1" x14ac:dyDescent="0.25">
      <c r="A142" s="5">
        <v>10118</v>
      </c>
      <c r="B142" s="5" t="s">
        <v>119</v>
      </c>
      <c r="C142" s="5" t="s">
        <v>117</v>
      </c>
      <c r="D142" s="5" t="s">
        <v>118</v>
      </c>
      <c r="E142" s="6" t="s">
        <v>18</v>
      </c>
      <c r="F142" s="10">
        <v>12</v>
      </c>
      <c r="G142" s="10">
        <v>48</v>
      </c>
      <c r="H142" s="6" t="s">
        <v>19</v>
      </c>
      <c r="I142" s="6" t="s">
        <v>20</v>
      </c>
      <c r="J142" s="6" t="s">
        <v>28</v>
      </c>
      <c r="K142" s="6" t="s">
        <v>29</v>
      </c>
      <c r="L142" s="54" t="s">
        <v>23</v>
      </c>
      <c r="M142" s="54">
        <v>25</v>
      </c>
      <c r="N142" s="54" t="s">
        <v>24</v>
      </c>
      <c r="O142" s="54">
        <v>1</v>
      </c>
      <c r="P142" t="e">
        <f xml:space="preserve"> LOOKUP(A142,#REF!,#REF!)</f>
        <v>#REF!</v>
      </c>
    </row>
    <row r="143" spans="1:16" hidden="1" x14ac:dyDescent="0.25">
      <c r="A143" s="5">
        <v>10148</v>
      </c>
      <c r="B143" s="5" t="s">
        <v>165</v>
      </c>
      <c r="C143" s="5" t="s">
        <v>166</v>
      </c>
      <c r="D143" s="5" t="s">
        <v>37</v>
      </c>
      <c r="E143" s="6" t="s">
        <v>18</v>
      </c>
      <c r="F143" s="10">
        <v>6</v>
      </c>
      <c r="G143" s="10">
        <v>1</v>
      </c>
      <c r="H143" s="6" t="s">
        <v>27</v>
      </c>
      <c r="I143" s="6" t="s">
        <v>20</v>
      </c>
      <c r="J143" s="6" t="s">
        <v>28</v>
      </c>
      <c r="K143" s="6" t="s">
        <v>29</v>
      </c>
      <c r="L143" s="54" t="s">
        <v>23</v>
      </c>
      <c r="M143" s="54">
        <v>347</v>
      </c>
      <c r="N143" s="54" t="s">
        <v>24</v>
      </c>
      <c r="O143" s="54">
        <v>1</v>
      </c>
      <c r="P143" t="e">
        <f xml:space="preserve"> LOOKUP(A143,#REF!,#REF!)</f>
        <v>#REF!</v>
      </c>
    </row>
    <row r="144" spans="1:16" hidden="1" x14ac:dyDescent="0.25">
      <c r="A144" s="5">
        <v>10148</v>
      </c>
      <c r="B144" s="5" t="s">
        <v>165</v>
      </c>
      <c r="C144" s="5" t="s">
        <v>166</v>
      </c>
      <c r="D144" s="5" t="s">
        <v>37</v>
      </c>
      <c r="E144" s="6" t="s">
        <v>18</v>
      </c>
      <c r="F144" s="10">
        <v>6</v>
      </c>
      <c r="G144" s="10">
        <v>1</v>
      </c>
      <c r="H144" s="6" t="s">
        <v>19</v>
      </c>
      <c r="I144" s="6" t="s">
        <v>25</v>
      </c>
      <c r="J144" s="6" t="s">
        <v>25</v>
      </c>
      <c r="K144" s="6" t="s">
        <v>26</v>
      </c>
      <c r="L144" s="54" t="s">
        <v>23</v>
      </c>
      <c r="M144" s="54">
        <v>242</v>
      </c>
      <c r="N144" s="54" t="s">
        <v>24</v>
      </c>
      <c r="O144" s="54">
        <v>1</v>
      </c>
      <c r="P144" t="e">
        <f xml:space="preserve"> LOOKUP(A144,#REF!,#REF!)</f>
        <v>#REF!</v>
      </c>
    </row>
    <row r="145" spans="1:16" hidden="1" x14ac:dyDescent="0.25">
      <c r="A145" s="5">
        <v>10148</v>
      </c>
      <c r="B145" s="5" t="s">
        <v>165</v>
      </c>
      <c r="C145" s="5" t="s">
        <v>166</v>
      </c>
      <c r="D145" s="5" t="s">
        <v>37</v>
      </c>
      <c r="E145" s="6" t="s">
        <v>18</v>
      </c>
      <c r="F145" s="10">
        <v>6</v>
      </c>
      <c r="G145" s="10">
        <v>1</v>
      </c>
      <c r="H145" s="6" t="s">
        <v>19</v>
      </c>
      <c r="I145" s="6" t="s">
        <v>20</v>
      </c>
      <c r="J145" s="6" t="s">
        <v>21</v>
      </c>
      <c r="K145" s="6" t="s">
        <v>22</v>
      </c>
      <c r="L145" s="54" t="s">
        <v>23</v>
      </c>
      <c r="M145" s="54">
        <v>6.4</v>
      </c>
      <c r="N145" s="54" t="s">
        <v>24</v>
      </c>
      <c r="O145" s="54">
        <v>1</v>
      </c>
      <c r="P145" t="e">
        <f xml:space="preserve"> LOOKUP(A145,#REF!,#REF!)</f>
        <v>#REF!</v>
      </c>
    </row>
    <row r="146" spans="1:16" hidden="1" x14ac:dyDescent="0.25">
      <c r="A146" s="4">
        <v>10165</v>
      </c>
      <c r="B146" s="5" t="s">
        <v>62</v>
      </c>
      <c r="C146" s="5" t="s">
        <v>57</v>
      </c>
      <c r="D146" s="5" t="s">
        <v>63</v>
      </c>
      <c r="E146" s="6" t="s">
        <v>18</v>
      </c>
      <c r="F146" s="9">
        <v>10</v>
      </c>
      <c r="G146" s="9">
        <v>180</v>
      </c>
      <c r="H146" s="6" t="s">
        <v>27</v>
      </c>
      <c r="I146" s="6" t="s">
        <v>30</v>
      </c>
      <c r="J146" s="6" t="s">
        <v>31</v>
      </c>
      <c r="K146" s="6" t="s">
        <v>32</v>
      </c>
      <c r="L146" s="54" t="s">
        <v>23</v>
      </c>
      <c r="M146" s="54">
        <v>56.5</v>
      </c>
      <c r="N146" s="54" t="s">
        <v>24</v>
      </c>
      <c r="O146" s="54">
        <v>1</v>
      </c>
      <c r="P146" t="e">
        <f xml:space="preserve"> LOOKUP(A146,#REF!,#REF!)</f>
        <v>#REF!</v>
      </c>
    </row>
    <row r="147" spans="1:16" hidden="1" x14ac:dyDescent="0.25">
      <c r="A147" s="4">
        <v>10165</v>
      </c>
      <c r="B147" s="5" t="s">
        <v>62</v>
      </c>
      <c r="C147" s="5" t="s">
        <v>57</v>
      </c>
      <c r="D147" s="5" t="s">
        <v>63</v>
      </c>
      <c r="E147" s="6" t="s">
        <v>18</v>
      </c>
      <c r="F147" s="9">
        <v>10</v>
      </c>
      <c r="G147" s="9">
        <v>180</v>
      </c>
      <c r="H147" s="6" t="s">
        <v>19</v>
      </c>
      <c r="I147" s="6" t="s">
        <v>30</v>
      </c>
      <c r="J147" s="6" t="s">
        <v>31</v>
      </c>
      <c r="K147" s="6" t="s">
        <v>32</v>
      </c>
      <c r="L147" s="54" t="s">
        <v>23</v>
      </c>
      <c r="M147" s="54">
        <v>14.68</v>
      </c>
      <c r="N147" s="54" t="s">
        <v>24</v>
      </c>
      <c r="O147" s="54">
        <v>1</v>
      </c>
      <c r="P147" t="e">
        <f xml:space="preserve"> LOOKUP(A147,#REF!,#REF!)</f>
        <v>#REF!</v>
      </c>
    </row>
    <row r="148" spans="1:16" hidden="1" x14ac:dyDescent="0.25">
      <c r="A148" s="4">
        <v>10175</v>
      </c>
      <c r="B148" s="5" t="s">
        <v>81</v>
      </c>
      <c r="C148" s="6" t="s">
        <v>82</v>
      </c>
      <c r="D148" s="5" t="s">
        <v>83</v>
      </c>
      <c r="E148" s="6" t="s">
        <v>18</v>
      </c>
      <c r="F148" s="9">
        <v>4</v>
      </c>
      <c r="G148" s="9">
        <v>40</v>
      </c>
      <c r="H148" s="6" t="s">
        <v>27</v>
      </c>
      <c r="I148" s="6" t="s">
        <v>30</v>
      </c>
      <c r="J148" s="6" t="s">
        <v>31</v>
      </c>
      <c r="K148" s="6" t="s">
        <v>32</v>
      </c>
      <c r="L148" s="54" t="s">
        <v>23</v>
      </c>
      <c r="M148" s="54">
        <v>60</v>
      </c>
      <c r="N148" s="54" t="s">
        <v>24</v>
      </c>
      <c r="O148" s="54">
        <v>1</v>
      </c>
      <c r="P148" t="e">
        <f xml:space="preserve"> LOOKUP(A148,#REF!,#REF!)</f>
        <v>#REF!</v>
      </c>
    </row>
    <row r="149" spans="1:16" x14ac:dyDescent="0.25">
      <c r="A149" s="4">
        <v>10175</v>
      </c>
      <c r="B149" s="5" t="s">
        <v>81</v>
      </c>
      <c r="C149" s="6" t="s">
        <v>82</v>
      </c>
      <c r="D149" s="5" t="s">
        <v>83</v>
      </c>
      <c r="E149" s="6" t="s">
        <v>18</v>
      </c>
      <c r="F149" s="9">
        <v>4</v>
      </c>
      <c r="G149" s="9">
        <v>40</v>
      </c>
      <c r="H149" s="6" t="s">
        <v>19</v>
      </c>
      <c r="I149" s="6" t="s">
        <v>30</v>
      </c>
      <c r="J149" s="6" t="s">
        <v>73</v>
      </c>
      <c r="K149" s="6" t="s">
        <v>43</v>
      </c>
      <c r="L149" s="54" t="s">
        <v>23</v>
      </c>
      <c r="M149" s="54">
        <v>38</v>
      </c>
      <c r="N149" s="54" t="s">
        <v>24</v>
      </c>
      <c r="O149" s="54">
        <v>1</v>
      </c>
      <c r="P149" t="e">
        <f xml:space="preserve"> LOOKUP(A149,#REF!,#REF!)</f>
        <v>#REF!</v>
      </c>
    </row>
    <row r="150" spans="1:16" hidden="1" x14ac:dyDescent="0.25">
      <c r="A150" s="4">
        <v>10176</v>
      </c>
      <c r="B150" s="5" t="s">
        <v>84</v>
      </c>
      <c r="C150" s="6" t="s">
        <v>82</v>
      </c>
      <c r="D150" s="5" t="s">
        <v>83</v>
      </c>
      <c r="E150" s="6" t="s">
        <v>18</v>
      </c>
      <c r="F150" s="9">
        <v>4</v>
      </c>
      <c r="G150" s="9">
        <v>40</v>
      </c>
      <c r="H150" s="6" t="s">
        <v>27</v>
      </c>
      <c r="I150" s="6" t="s">
        <v>30</v>
      </c>
      <c r="J150" s="6" t="s">
        <v>31</v>
      </c>
      <c r="K150" s="6" t="s">
        <v>32</v>
      </c>
      <c r="L150" s="54" t="s">
        <v>23</v>
      </c>
      <c r="M150" s="54">
        <v>60</v>
      </c>
      <c r="N150" s="54" t="s">
        <v>24</v>
      </c>
      <c r="O150" s="54">
        <v>1</v>
      </c>
      <c r="P150" t="e">
        <f xml:space="preserve"> LOOKUP(A150,#REF!,#REF!)</f>
        <v>#REF!</v>
      </c>
    </row>
    <row r="151" spans="1:16" x14ac:dyDescent="0.25">
      <c r="A151" s="4">
        <v>10176</v>
      </c>
      <c r="B151" s="5" t="s">
        <v>84</v>
      </c>
      <c r="C151" s="6" t="s">
        <v>82</v>
      </c>
      <c r="D151" s="5" t="s">
        <v>83</v>
      </c>
      <c r="E151" s="6" t="s">
        <v>18</v>
      </c>
      <c r="F151" s="9">
        <v>4</v>
      </c>
      <c r="G151" s="9">
        <v>40</v>
      </c>
      <c r="H151" s="6" t="s">
        <v>19</v>
      </c>
      <c r="I151" s="6" t="s">
        <v>30</v>
      </c>
      <c r="J151" s="6" t="s">
        <v>73</v>
      </c>
      <c r="K151" s="6" t="s">
        <v>43</v>
      </c>
      <c r="L151" s="54" t="s">
        <v>23</v>
      </c>
      <c r="M151" s="54">
        <v>38</v>
      </c>
      <c r="N151" s="54" t="s">
        <v>24</v>
      </c>
      <c r="O151" s="54">
        <v>1</v>
      </c>
      <c r="P151" t="e">
        <f xml:space="preserve"> LOOKUP(A151,#REF!,#REF!)</f>
        <v>#REF!</v>
      </c>
    </row>
    <row r="152" spans="1:16" hidden="1" x14ac:dyDescent="0.25">
      <c r="A152" s="5">
        <v>10177</v>
      </c>
      <c r="B152" s="5" t="s">
        <v>134</v>
      </c>
      <c r="C152" s="5" t="s">
        <v>117</v>
      </c>
      <c r="D152" s="5" t="s">
        <v>124</v>
      </c>
      <c r="E152" s="6" t="s">
        <v>18</v>
      </c>
      <c r="F152" s="10">
        <v>8</v>
      </c>
      <c r="G152" s="10">
        <v>1</v>
      </c>
      <c r="H152" s="8" t="s">
        <v>27</v>
      </c>
      <c r="I152" s="8" t="s">
        <v>20</v>
      </c>
      <c r="J152" s="8" t="s">
        <v>28</v>
      </c>
      <c r="K152" s="6" t="s">
        <v>29</v>
      </c>
      <c r="L152" s="54" t="s">
        <v>23</v>
      </c>
      <c r="M152" s="54">
        <v>330</v>
      </c>
      <c r="N152" s="54" t="s">
        <v>24</v>
      </c>
      <c r="O152" s="54">
        <v>1</v>
      </c>
      <c r="P152" t="e">
        <f xml:space="preserve"> LOOKUP(A152,#REF!,#REF!)</f>
        <v>#REF!</v>
      </c>
    </row>
    <row r="153" spans="1:16" hidden="1" x14ac:dyDescent="0.25">
      <c r="A153" s="5">
        <v>10177</v>
      </c>
      <c r="B153" s="5" t="s">
        <v>134</v>
      </c>
      <c r="C153" s="5" t="s">
        <v>117</v>
      </c>
      <c r="D153" s="5" t="s">
        <v>124</v>
      </c>
      <c r="E153" s="6" t="s">
        <v>18</v>
      </c>
      <c r="F153" s="10">
        <v>8</v>
      </c>
      <c r="G153" s="10">
        <v>1</v>
      </c>
      <c r="H153" s="8" t="s">
        <v>19</v>
      </c>
      <c r="I153" s="8" t="s">
        <v>20</v>
      </c>
      <c r="J153" s="8" t="s">
        <v>28</v>
      </c>
      <c r="K153" s="6" t="s">
        <v>29</v>
      </c>
      <c r="L153" s="54" t="s">
        <v>23</v>
      </c>
      <c r="M153" s="54">
        <v>2.1</v>
      </c>
      <c r="N153" s="54" t="s">
        <v>24</v>
      </c>
      <c r="O153" s="54">
        <v>1</v>
      </c>
      <c r="P153" t="e">
        <f xml:space="preserve"> LOOKUP(A153,#REF!,#REF!)</f>
        <v>#REF!</v>
      </c>
    </row>
    <row r="154" spans="1:16" hidden="1" x14ac:dyDescent="0.25">
      <c r="A154" s="4">
        <v>10231</v>
      </c>
      <c r="B154" s="5" t="s">
        <v>36</v>
      </c>
      <c r="C154" s="5" t="s">
        <v>16</v>
      </c>
      <c r="D154" s="5" t="s">
        <v>37</v>
      </c>
      <c r="E154" s="6" t="s">
        <v>18</v>
      </c>
      <c r="F154" s="9">
        <v>24</v>
      </c>
      <c r="G154" s="9">
        <v>99</v>
      </c>
      <c r="H154" s="6" t="s">
        <v>38</v>
      </c>
      <c r="I154" s="6" t="s">
        <v>30</v>
      </c>
      <c r="J154" s="6" t="s">
        <v>31</v>
      </c>
      <c r="K154" s="6" t="s">
        <v>32</v>
      </c>
      <c r="L154" s="54" t="s">
        <v>23</v>
      </c>
      <c r="M154" s="54">
        <v>200</v>
      </c>
      <c r="N154" s="54" t="s">
        <v>24</v>
      </c>
      <c r="O154" s="54">
        <v>1</v>
      </c>
      <c r="P154" t="e">
        <f xml:space="preserve"> LOOKUP(A154,#REF!,#REF!)</f>
        <v>#REF!</v>
      </c>
    </row>
    <row r="155" spans="1:16" hidden="1" x14ac:dyDescent="0.25">
      <c r="A155" s="4">
        <v>10231</v>
      </c>
      <c r="B155" s="5" t="s">
        <v>36</v>
      </c>
      <c r="C155" s="5" t="s">
        <v>16</v>
      </c>
      <c r="D155" s="5" t="s">
        <v>37</v>
      </c>
      <c r="E155" s="6" t="s">
        <v>18</v>
      </c>
      <c r="F155" s="9">
        <v>24</v>
      </c>
      <c r="G155" s="9">
        <v>99</v>
      </c>
      <c r="H155" s="6" t="s">
        <v>27</v>
      </c>
      <c r="I155" s="6" t="s">
        <v>20</v>
      </c>
      <c r="J155" s="6" t="s">
        <v>28</v>
      </c>
      <c r="K155" s="6" t="s">
        <v>29</v>
      </c>
      <c r="L155" s="54" t="s">
        <v>23</v>
      </c>
      <c r="M155" s="54">
        <v>66.8</v>
      </c>
      <c r="N155" s="54" t="s">
        <v>24</v>
      </c>
      <c r="O155" s="54">
        <v>1</v>
      </c>
      <c r="P155" t="e">
        <f xml:space="preserve"> LOOKUP(A155,#REF!,#REF!)</f>
        <v>#REF!</v>
      </c>
    </row>
    <row r="156" spans="1:16" hidden="1" x14ac:dyDescent="0.25">
      <c r="A156" s="4">
        <v>10231</v>
      </c>
      <c r="B156" s="5" t="s">
        <v>36</v>
      </c>
      <c r="C156" s="5" t="s">
        <v>16</v>
      </c>
      <c r="D156" s="5" t="s">
        <v>37</v>
      </c>
      <c r="E156" s="6" t="s">
        <v>18</v>
      </c>
      <c r="F156" s="9">
        <v>24</v>
      </c>
      <c r="G156" s="9">
        <v>99</v>
      </c>
      <c r="H156" s="6" t="s">
        <v>19</v>
      </c>
      <c r="I156" s="6" t="s">
        <v>25</v>
      </c>
      <c r="J156" s="6" t="s">
        <v>25</v>
      </c>
      <c r="K156" s="6" t="s">
        <v>26</v>
      </c>
      <c r="L156" s="54" t="s">
        <v>23</v>
      </c>
      <c r="M156" s="54">
        <v>51.8</v>
      </c>
      <c r="N156" s="54" t="s">
        <v>24</v>
      </c>
      <c r="O156" s="54">
        <v>1</v>
      </c>
      <c r="P156" t="e">
        <f xml:space="preserve"> LOOKUP(A156,#REF!,#REF!)</f>
        <v>#REF!</v>
      </c>
    </row>
    <row r="157" spans="1:16" hidden="1" x14ac:dyDescent="0.25">
      <c r="A157" s="4">
        <v>10231</v>
      </c>
      <c r="B157" s="5" t="s">
        <v>36</v>
      </c>
      <c r="C157" s="5" t="s">
        <v>16</v>
      </c>
      <c r="D157" s="5" t="s">
        <v>37</v>
      </c>
      <c r="E157" s="6" t="s">
        <v>18</v>
      </c>
      <c r="F157" s="9">
        <v>24</v>
      </c>
      <c r="G157" s="9">
        <v>99</v>
      </c>
      <c r="H157" s="6" t="s">
        <v>27</v>
      </c>
      <c r="I157" s="6" t="s">
        <v>30</v>
      </c>
      <c r="J157" s="6" t="s">
        <v>31</v>
      </c>
      <c r="K157" s="6" t="s">
        <v>32</v>
      </c>
      <c r="L157" s="54" t="s">
        <v>23</v>
      </c>
      <c r="M157" s="54">
        <v>27</v>
      </c>
      <c r="N157" s="54" t="s">
        <v>24</v>
      </c>
      <c r="O157" s="54">
        <v>1</v>
      </c>
      <c r="P157" t="e">
        <f xml:space="preserve"> LOOKUP(A157,#REF!,#REF!)</f>
        <v>#REF!</v>
      </c>
    </row>
    <row r="158" spans="1:16" hidden="1" x14ac:dyDescent="0.25">
      <c r="A158" s="4">
        <v>10231</v>
      </c>
      <c r="B158" s="5" t="s">
        <v>36</v>
      </c>
      <c r="C158" s="5" t="s">
        <v>16</v>
      </c>
      <c r="D158" s="5" t="s">
        <v>37</v>
      </c>
      <c r="E158" s="6" t="s">
        <v>18</v>
      </c>
      <c r="F158" s="9">
        <v>24</v>
      </c>
      <c r="G158" s="9">
        <v>99</v>
      </c>
      <c r="H158" s="6" t="s">
        <v>19</v>
      </c>
      <c r="I158" s="8" t="s">
        <v>20</v>
      </c>
      <c r="J158" s="8" t="s">
        <v>21</v>
      </c>
      <c r="K158" s="6" t="s">
        <v>22</v>
      </c>
      <c r="L158" s="54" t="s">
        <v>23</v>
      </c>
      <c r="M158" s="54">
        <v>2</v>
      </c>
      <c r="N158" s="54" t="s">
        <v>24</v>
      </c>
      <c r="O158" s="54">
        <v>1</v>
      </c>
      <c r="P158" t="e">
        <f xml:space="preserve"> LOOKUP(A158,#REF!,#REF!)</f>
        <v>#REF!</v>
      </c>
    </row>
    <row r="159" spans="1:16" hidden="1" x14ac:dyDescent="0.25">
      <c r="A159" s="4">
        <v>10232</v>
      </c>
      <c r="B159" s="5" t="s">
        <v>39</v>
      </c>
      <c r="C159" s="5" t="s">
        <v>16</v>
      </c>
      <c r="D159" s="5" t="s">
        <v>37</v>
      </c>
      <c r="E159" s="6" t="s">
        <v>18</v>
      </c>
      <c r="F159" s="9">
        <v>24</v>
      </c>
      <c r="G159" s="9">
        <v>99</v>
      </c>
      <c r="H159" s="6" t="s">
        <v>38</v>
      </c>
      <c r="I159" s="6" t="s">
        <v>30</v>
      </c>
      <c r="J159" s="6" t="s">
        <v>31</v>
      </c>
      <c r="K159" s="6" t="s">
        <v>32</v>
      </c>
      <c r="L159" s="54" t="s">
        <v>23</v>
      </c>
      <c r="M159" s="54">
        <v>200</v>
      </c>
      <c r="N159" s="54" t="s">
        <v>24</v>
      </c>
      <c r="O159" s="54">
        <v>1</v>
      </c>
      <c r="P159" t="e">
        <f xml:space="preserve"> LOOKUP(A159,#REF!,#REF!)</f>
        <v>#REF!</v>
      </c>
    </row>
    <row r="160" spans="1:16" hidden="1" x14ac:dyDescent="0.25">
      <c r="A160" s="4">
        <v>10232</v>
      </c>
      <c r="B160" s="5" t="s">
        <v>39</v>
      </c>
      <c r="C160" s="5" t="s">
        <v>16</v>
      </c>
      <c r="D160" s="5" t="s">
        <v>37</v>
      </c>
      <c r="E160" s="6" t="s">
        <v>18</v>
      </c>
      <c r="F160" s="9">
        <v>24</v>
      </c>
      <c r="G160" s="9">
        <v>99</v>
      </c>
      <c r="H160" s="6" t="s">
        <v>27</v>
      </c>
      <c r="I160" s="6" t="s">
        <v>20</v>
      </c>
      <c r="J160" s="6" t="s">
        <v>28</v>
      </c>
      <c r="K160" s="6" t="s">
        <v>29</v>
      </c>
      <c r="L160" s="54" t="s">
        <v>23</v>
      </c>
      <c r="M160" s="54">
        <v>66.8</v>
      </c>
      <c r="N160" s="54" t="s">
        <v>24</v>
      </c>
      <c r="O160" s="54">
        <v>1</v>
      </c>
      <c r="P160" t="e">
        <f xml:space="preserve"> LOOKUP(A160,#REF!,#REF!)</f>
        <v>#REF!</v>
      </c>
    </row>
    <row r="161" spans="1:16" hidden="1" x14ac:dyDescent="0.25">
      <c r="A161" s="4">
        <v>10232</v>
      </c>
      <c r="B161" s="5" t="s">
        <v>39</v>
      </c>
      <c r="C161" s="5" t="s">
        <v>16</v>
      </c>
      <c r="D161" s="5" t="s">
        <v>37</v>
      </c>
      <c r="E161" s="6" t="s">
        <v>18</v>
      </c>
      <c r="F161" s="9">
        <v>24</v>
      </c>
      <c r="G161" s="9">
        <v>99</v>
      </c>
      <c r="H161" s="6" t="s">
        <v>19</v>
      </c>
      <c r="I161" s="6" t="s">
        <v>25</v>
      </c>
      <c r="J161" s="6" t="s">
        <v>25</v>
      </c>
      <c r="K161" s="6" t="s">
        <v>26</v>
      </c>
      <c r="L161" s="54" t="s">
        <v>23</v>
      </c>
      <c r="M161" s="54">
        <v>50</v>
      </c>
      <c r="N161" s="54" t="s">
        <v>24</v>
      </c>
      <c r="O161" s="54">
        <v>1</v>
      </c>
      <c r="P161" t="e">
        <f xml:space="preserve"> LOOKUP(A161,#REF!,#REF!)</f>
        <v>#REF!</v>
      </c>
    </row>
    <row r="162" spans="1:16" hidden="1" x14ac:dyDescent="0.25">
      <c r="A162" s="4">
        <v>10232</v>
      </c>
      <c r="B162" s="5" t="s">
        <v>39</v>
      </c>
      <c r="C162" s="5" t="s">
        <v>16</v>
      </c>
      <c r="D162" s="5" t="s">
        <v>37</v>
      </c>
      <c r="E162" s="6" t="s">
        <v>18</v>
      </c>
      <c r="F162" s="9">
        <v>24</v>
      </c>
      <c r="G162" s="9">
        <v>99</v>
      </c>
      <c r="H162" s="6" t="s">
        <v>27</v>
      </c>
      <c r="I162" s="6" t="s">
        <v>30</v>
      </c>
      <c r="J162" s="6" t="s">
        <v>31</v>
      </c>
      <c r="K162" s="6" t="s">
        <v>32</v>
      </c>
      <c r="L162" s="54" t="s">
        <v>23</v>
      </c>
      <c r="M162" s="54">
        <v>34</v>
      </c>
      <c r="N162" s="54" t="s">
        <v>24</v>
      </c>
      <c r="O162" s="54">
        <v>1</v>
      </c>
      <c r="P162" t="e">
        <f xml:space="preserve"> LOOKUP(A162,#REF!,#REF!)</f>
        <v>#REF!</v>
      </c>
    </row>
    <row r="163" spans="1:16" hidden="1" x14ac:dyDescent="0.25">
      <c r="A163" s="4">
        <v>10232</v>
      </c>
      <c r="B163" s="5" t="s">
        <v>39</v>
      </c>
      <c r="C163" s="5" t="s">
        <v>16</v>
      </c>
      <c r="D163" s="5" t="s">
        <v>37</v>
      </c>
      <c r="E163" s="6" t="s">
        <v>18</v>
      </c>
      <c r="F163" s="9">
        <v>24</v>
      </c>
      <c r="G163" s="9">
        <v>99</v>
      </c>
      <c r="H163" s="6" t="s">
        <v>19</v>
      </c>
      <c r="I163" s="8" t="s">
        <v>20</v>
      </c>
      <c r="J163" s="8" t="s">
        <v>21</v>
      </c>
      <c r="K163" s="6" t="s">
        <v>22</v>
      </c>
      <c r="L163" s="54" t="s">
        <v>23</v>
      </c>
      <c r="M163" s="54">
        <v>2</v>
      </c>
      <c r="N163" s="54" t="s">
        <v>24</v>
      </c>
      <c r="O163" s="54">
        <v>1</v>
      </c>
      <c r="P163" t="e">
        <f xml:space="preserve"> LOOKUP(A163,#REF!,#REF!)</f>
        <v>#REF!</v>
      </c>
    </row>
    <row r="164" spans="1:16" hidden="1" x14ac:dyDescent="0.25">
      <c r="A164" s="5">
        <v>10376</v>
      </c>
      <c r="B164" s="5" t="s">
        <v>145</v>
      </c>
      <c r="C164" s="5" t="s">
        <v>146</v>
      </c>
      <c r="D164" s="5" t="s">
        <v>17</v>
      </c>
      <c r="E164" s="6" t="s">
        <v>18</v>
      </c>
      <c r="F164" s="10">
        <v>96</v>
      </c>
      <c r="G164" s="10">
        <v>1</v>
      </c>
      <c r="H164" s="6" t="s">
        <v>27</v>
      </c>
      <c r="I164" s="6" t="s">
        <v>20</v>
      </c>
      <c r="J164" s="6" t="s">
        <v>28</v>
      </c>
      <c r="K164" s="6" t="s">
        <v>29</v>
      </c>
      <c r="L164" s="54" t="s">
        <v>23</v>
      </c>
      <c r="M164" s="54">
        <v>187</v>
      </c>
      <c r="N164" s="54" t="s">
        <v>24</v>
      </c>
      <c r="O164" s="54">
        <v>1</v>
      </c>
      <c r="P164" t="e">
        <f xml:space="preserve"> LOOKUP(A164,#REF!,#REF!)</f>
        <v>#REF!</v>
      </c>
    </row>
    <row r="165" spans="1:16" hidden="1" x14ac:dyDescent="0.25">
      <c r="A165" s="5">
        <v>10376</v>
      </c>
      <c r="B165" s="5" t="s">
        <v>145</v>
      </c>
      <c r="C165" s="5" t="s">
        <v>146</v>
      </c>
      <c r="D165" s="5" t="s">
        <v>17</v>
      </c>
      <c r="E165" s="6" t="s">
        <v>18</v>
      </c>
      <c r="F165" s="10">
        <v>96</v>
      </c>
      <c r="G165" s="10">
        <v>1</v>
      </c>
      <c r="H165" s="6" t="s">
        <v>19</v>
      </c>
      <c r="I165" s="6" t="s">
        <v>30</v>
      </c>
      <c r="J165" s="6" t="s">
        <v>106</v>
      </c>
      <c r="K165" s="6" t="s">
        <v>147</v>
      </c>
      <c r="L165" s="54" t="s">
        <v>23</v>
      </c>
      <c r="M165" s="54">
        <v>2.5</v>
      </c>
      <c r="N165" s="54" t="s">
        <v>24</v>
      </c>
      <c r="O165" s="54">
        <v>1</v>
      </c>
      <c r="P165" t="e">
        <f xml:space="preserve"> LOOKUP(A165,#REF!,#REF!)</f>
        <v>#REF!</v>
      </c>
    </row>
    <row r="166" spans="1:16" hidden="1" x14ac:dyDescent="0.25">
      <c r="A166" s="5">
        <v>10377</v>
      </c>
      <c r="B166" s="5" t="s">
        <v>148</v>
      </c>
      <c r="C166" s="5" t="s">
        <v>146</v>
      </c>
      <c r="D166" s="5" t="s">
        <v>17</v>
      </c>
      <c r="E166" s="6" t="s">
        <v>18</v>
      </c>
      <c r="F166" s="10">
        <v>96</v>
      </c>
      <c r="G166" s="10">
        <v>1</v>
      </c>
      <c r="H166" s="6" t="s">
        <v>27</v>
      </c>
      <c r="I166" s="6" t="s">
        <v>20</v>
      </c>
      <c r="J166" s="6" t="s">
        <v>28</v>
      </c>
      <c r="K166" s="6" t="s">
        <v>29</v>
      </c>
      <c r="L166" s="54" t="s">
        <v>23</v>
      </c>
      <c r="M166" s="54">
        <v>187</v>
      </c>
      <c r="N166" s="54" t="s">
        <v>24</v>
      </c>
      <c r="O166" s="54">
        <v>1</v>
      </c>
      <c r="P166" t="e">
        <f xml:space="preserve"> LOOKUP(A166,#REF!,#REF!)</f>
        <v>#REF!</v>
      </c>
    </row>
    <row r="167" spans="1:16" hidden="1" x14ac:dyDescent="0.25">
      <c r="A167" s="5">
        <v>10377</v>
      </c>
      <c r="B167" s="5" t="s">
        <v>148</v>
      </c>
      <c r="C167" s="5" t="s">
        <v>146</v>
      </c>
      <c r="D167" s="5" t="s">
        <v>17</v>
      </c>
      <c r="E167" s="6" t="s">
        <v>18</v>
      </c>
      <c r="F167" s="10">
        <v>96</v>
      </c>
      <c r="G167" s="10">
        <v>1</v>
      </c>
      <c r="H167" s="6" t="s">
        <v>19</v>
      </c>
      <c r="I167" s="6" t="s">
        <v>30</v>
      </c>
      <c r="J167" s="6" t="s">
        <v>106</v>
      </c>
      <c r="K167" s="6" t="s">
        <v>147</v>
      </c>
      <c r="L167" s="54" t="s">
        <v>23</v>
      </c>
      <c r="M167" s="54">
        <v>2.5</v>
      </c>
      <c r="N167" s="54" t="s">
        <v>24</v>
      </c>
      <c r="O167" s="54">
        <v>1</v>
      </c>
      <c r="P167" t="e">
        <f xml:space="preserve"> LOOKUP(A167,#REF!,#REF!)</f>
        <v>#REF!</v>
      </c>
    </row>
    <row r="168" spans="1:16" hidden="1" x14ac:dyDescent="0.25">
      <c r="A168" s="5">
        <v>10378</v>
      </c>
      <c r="B168" s="5" t="s">
        <v>149</v>
      </c>
      <c r="C168" s="5" t="s">
        <v>146</v>
      </c>
      <c r="D168" s="5" t="s">
        <v>17</v>
      </c>
      <c r="E168" s="6" t="s">
        <v>18</v>
      </c>
      <c r="F168" s="10">
        <v>96</v>
      </c>
      <c r="G168" s="10">
        <v>1</v>
      </c>
      <c r="H168" s="6" t="s">
        <v>27</v>
      </c>
      <c r="I168" s="6" t="s">
        <v>20</v>
      </c>
      <c r="J168" s="6" t="s">
        <v>28</v>
      </c>
      <c r="K168" s="6" t="s">
        <v>29</v>
      </c>
      <c r="L168" s="54" t="s">
        <v>23</v>
      </c>
      <c r="M168" s="54">
        <v>187</v>
      </c>
      <c r="N168" s="54" t="s">
        <v>24</v>
      </c>
      <c r="O168" s="54">
        <v>1</v>
      </c>
      <c r="P168" t="e">
        <f xml:space="preserve"> LOOKUP(A168,#REF!,#REF!)</f>
        <v>#REF!</v>
      </c>
    </row>
    <row r="169" spans="1:16" hidden="1" x14ac:dyDescent="0.25">
      <c r="A169" s="5">
        <v>10378</v>
      </c>
      <c r="B169" s="5" t="s">
        <v>149</v>
      </c>
      <c r="C169" s="5" t="s">
        <v>146</v>
      </c>
      <c r="D169" s="5" t="s">
        <v>17</v>
      </c>
      <c r="E169" s="6" t="s">
        <v>18</v>
      </c>
      <c r="F169" s="10">
        <v>96</v>
      </c>
      <c r="G169" s="10">
        <v>1</v>
      </c>
      <c r="H169" s="6" t="s">
        <v>19</v>
      </c>
      <c r="I169" s="6" t="s">
        <v>30</v>
      </c>
      <c r="J169" s="6" t="s">
        <v>106</v>
      </c>
      <c r="K169" s="6" t="s">
        <v>147</v>
      </c>
      <c r="L169" s="54" t="s">
        <v>23</v>
      </c>
      <c r="M169" s="54">
        <v>2.5</v>
      </c>
      <c r="N169" s="54" t="s">
        <v>24</v>
      </c>
      <c r="O169" s="54">
        <v>1</v>
      </c>
      <c r="P169" t="e">
        <f xml:space="preserve"> LOOKUP(A169,#REF!,#REF!)</f>
        <v>#REF!</v>
      </c>
    </row>
    <row r="170" spans="1:16" hidden="1" x14ac:dyDescent="0.25">
      <c r="A170" s="5">
        <v>10379</v>
      </c>
      <c r="B170" s="5" t="s">
        <v>150</v>
      </c>
      <c r="C170" s="5" t="s">
        <v>146</v>
      </c>
      <c r="D170" s="5" t="s">
        <v>17</v>
      </c>
      <c r="E170" s="6" t="s">
        <v>18</v>
      </c>
      <c r="F170" s="10">
        <v>96</v>
      </c>
      <c r="G170" s="10">
        <v>1</v>
      </c>
      <c r="H170" s="6" t="s">
        <v>27</v>
      </c>
      <c r="I170" s="6" t="s">
        <v>20</v>
      </c>
      <c r="J170" s="6" t="s">
        <v>28</v>
      </c>
      <c r="K170" s="6" t="s">
        <v>29</v>
      </c>
      <c r="L170" s="54" t="s">
        <v>23</v>
      </c>
      <c r="M170" s="54">
        <v>187</v>
      </c>
      <c r="N170" s="54" t="s">
        <v>24</v>
      </c>
      <c r="O170" s="54">
        <v>1</v>
      </c>
      <c r="P170" t="e">
        <f xml:space="preserve"> LOOKUP(A170,#REF!,#REF!)</f>
        <v>#REF!</v>
      </c>
    </row>
    <row r="171" spans="1:16" hidden="1" x14ac:dyDescent="0.25">
      <c r="A171" s="5">
        <v>10379</v>
      </c>
      <c r="B171" s="5" t="s">
        <v>150</v>
      </c>
      <c r="C171" s="5" t="s">
        <v>146</v>
      </c>
      <c r="D171" s="5" t="s">
        <v>17</v>
      </c>
      <c r="E171" s="6" t="s">
        <v>18</v>
      </c>
      <c r="F171" s="10">
        <v>96</v>
      </c>
      <c r="G171" s="10">
        <v>1</v>
      </c>
      <c r="H171" s="6" t="s">
        <v>19</v>
      </c>
      <c r="I171" s="6" t="s">
        <v>30</v>
      </c>
      <c r="J171" s="6" t="s">
        <v>106</v>
      </c>
      <c r="K171" s="6" t="s">
        <v>147</v>
      </c>
      <c r="L171" s="54" t="s">
        <v>23</v>
      </c>
      <c r="M171" s="54">
        <v>2.5</v>
      </c>
      <c r="N171" s="54" t="s">
        <v>24</v>
      </c>
      <c r="O171" s="54">
        <v>1</v>
      </c>
      <c r="P171" t="e">
        <f xml:space="preserve"> LOOKUP(A171,#REF!,#REF!)</f>
        <v>#REF!</v>
      </c>
    </row>
    <row r="172" spans="1:16" hidden="1" x14ac:dyDescent="0.25">
      <c r="A172" s="5">
        <v>10385</v>
      </c>
      <c r="B172" s="5" t="s">
        <v>151</v>
      </c>
      <c r="C172" s="5" t="s">
        <v>146</v>
      </c>
      <c r="D172" s="5" t="s">
        <v>17</v>
      </c>
      <c r="E172" s="6" t="s">
        <v>18</v>
      </c>
      <c r="F172" s="10">
        <v>96</v>
      </c>
      <c r="G172" s="10">
        <v>1</v>
      </c>
      <c r="H172" s="6" t="s">
        <v>27</v>
      </c>
      <c r="I172" s="6" t="s">
        <v>20</v>
      </c>
      <c r="J172" s="6" t="s">
        <v>28</v>
      </c>
      <c r="K172" s="6" t="s">
        <v>29</v>
      </c>
      <c r="L172" s="54" t="s">
        <v>23</v>
      </c>
      <c r="M172" s="54">
        <v>187</v>
      </c>
      <c r="N172" s="54" t="s">
        <v>24</v>
      </c>
      <c r="O172" s="54">
        <v>1</v>
      </c>
      <c r="P172" t="e">
        <f xml:space="preserve"> LOOKUP(A172,#REF!,#REF!)</f>
        <v>#REF!</v>
      </c>
    </row>
    <row r="173" spans="1:16" hidden="1" x14ac:dyDescent="0.25">
      <c r="A173" s="5">
        <v>10385</v>
      </c>
      <c r="B173" s="5" t="s">
        <v>151</v>
      </c>
      <c r="C173" s="5" t="s">
        <v>146</v>
      </c>
      <c r="D173" s="5" t="s">
        <v>17</v>
      </c>
      <c r="E173" s="6" t="s">
        <v>18</v>
      </c>
      <c r="F173" s="10">
        <v>96</v>
      </c>
      <c r="G173" s="10">
        <v>1</v>
      </c>
      <c r="H173" s="6" t="s">
        <v>19</v>
      </c>
      <c r="I173" s="6" t="s">
        <v>30</v>
      </c>
      <c r="J173" s="6" t="s">
        <v>106</v>
      </c>
      <c r="K173" s="6" t="s">
        <v>147</v>
      </c>
      <c r="L173" s="54" t="s">
        <v>23</v>
      </c>
      <c r="M173" s="54">
        <v>2.5</v>
      </c>
      <c r="N173" s="54" t="s">
        <v>24</v>
      </c>
      <c r="O173" s="54">
        <v>1</v>
      </c>
      <c r="P173" t="e">
        <f xml:space="preserve"> LOOKUP(A173,#REF!,#REF!)</f>
        <v>#REF!</v>
      </c>
    </row>
    <row r="174" spans="1:16" hidden="1" x14ac:dyDescent="0.25">
      <c r="A174" s="5">
        <v>10407</v>
      </c>
      <c r="B174" s="5" t="s">
        <v>101</v>
      </c>
      <c r="C174" s="5" t="s">
        <v>96</v>
      </c>
      <c r="D174" s="5" t="s">
        <v>37</v>
      </c>
      <c r="E174" s="6" t="s">
        <v>18</v>
      </c>
      <c r="F174" s="10">
        <v>1</v>
      </c>
      <c r="G174" s="10">
        <v>1</v>
      </c>
      <c r="H174" s="8" t="s">
        <v>19</v>
      </c>
      <c r="I174" s="8" t="s">
        <v>20</v>
      </c>
      <c r="J174" s="8" t="s">
        <v>21</v>
      </c>
      <c r="K174" s="6" t="s">
        <v>43</v>
      </c>
      <c r="L174" s="54" t="s">
        <v>23</v>
      </c>
      <c r="M174" s="54">
        <v>152.26</v>
      </c>
      <c r="N174" s="54" t="s">
        <v>24</v>
      </c>
      <c r="O174" s="54">
        <v>1</v>
      </c>
      <c r="P174" t="e">
        <f xml:space="preserve"> LOOKUP(A174,#REF!,#REF!)</f>
        <v>#REF!</v>
      </c>
    </row>
    <row r="175" spans="1:16" hidden="1" x14ac:dyDescent="0.25">
      <c r="A175" s="5">
        <v>10418</v>
      </c>
      <c r="B175" s="5" t="s">
        <v>102</v>
      </c>
      <c r="C175" s="5" t="s">
        <v>103</v>
      </c>
      <c r="D175" s="5" t="s">
        <v>104</v>
      </c>
      <c r="E175" s="6" t="s">
        <v>18</v>
      </c>
      <c r="F175" s="10">
        <v>20</v>
      </c>
      <c r="G175" s="10">
        <v>1</v>
      </c>
      <c r="H175" s="8" t="s">
        <v>27</v>
      </c>
      <c r="I175" s="8" t="s">
        <v>20</v>
      </c>
      <c r="J175" s="8" t="s">
        <v>28</v>
      </c>
      <c r="K175" s="6" t="s">
        <v>29</v>
      </c>
      <c r="L175" s="54" t="s">
        <v>23</v>
      </c>
      <c r="M175" s="54">
        <v>803</v>
      </c>
      <c r="N175" s="54" t="s">
        <v>24</v>
      </c>
      <c r="O175" s="54">
        <v>1</v>
      </c>
      <c r="P175" t="e">
        <f xml:space="preserve"> LOOKUP(A175,#REF!,#REF!)</f>
        <v>#REF!</v>
      </c>
    </row>
    <row r="176" spans="1:16" hidden="1" x14ac:dyDescent="0.25">
      <c r="A176" s="5">
        <v>10418</v>
      </c>
      <c r="B176" s="5" t="s">
        <v>102</v>
      </c>
      <c r="C176" s="5" t="s">
        <v>103</v>
      </c>
      <c r="D176" s="5" t="s">
        <v>104</v>
      </c>
      <c r="E176" s="6" t="s">
        <v>18</v>
      </c>
      <c r="F176" s="10">
        <v>20</v>
      </c>
      <c r="G176" s="10">
        <v>1</v>
      </c>
      <c r="H176" s="8" t="s">
        <v>19</v>
      </c>
      <c r="I176" s="6" t="s">
        <v>30</v>
      </c>
      <c r="J176" s="6" t="s">
        <v>31</v>
      </c>
      <c r="K176" s="6" t="s">
        <v>32</v>
      </c>
      <c r="L176" s="54" t="s">
        <v>23</v>
      </c>
      <c r="M176" s="54">
        <v>15</v>
      </c>
      <c r="N176" s="54" t="s">
        <v>24</v>
      </c>
      <c r="O176" s="54">
        <v>1</v>
      </c>
      <c r="P176" t="e">
        <f xml:space="preserve"> LOOKUP(A176,#REF!,#REF!)</f>
        <v>#REF!</v>
      </c>
    </row>
    <row r="177" spans="1:16" hidden="1" x14ac:dyDescent="0.25">
      <c r="A177" s="5">
        <v>10418</v>
      </c>
      <c r="B177" s="5" t="s">
        <v>102</v>
      </c>
      <c r="C177" s="5" t="s">
        <v>103</v>
      </c>
      <c r="D177" s="5" t="s">
        <v>104</v>
      </c>
      <c r="E177" s="6" t="s">
        <v>18</v>
      </c>
      <c r="F177" s="10">
        <v>20</v>
      </c>
      <c r="G177" s="10">
        <v>1</v>
      </c>
      <c r="H177" s="6" t="s">
        <v>105</v>
      </c>
      <c r="I177" s="6" t="s">
        <v>30</v>
      </c>
      <c r="J177" s="6" t="s">
        <v>106</v>
      </c>
      <c r="K177" s="6" t="s">
        <v>107</v>
      </c>
      <c r="L177" s="54" t="s">
        <v>23</v>
      </c>
      <c r="M177" s="54">
        <v>8</v>
      </c>
      <c r="N177" s="54" t="s">
        <v>24</v>
      </c>
      <c r="O177" s="54">
        <v>1</v>
      </c>
      <c r="P177" t="e">
        <f xml:space="preserve"> LOOKUP(A177,#REF!,#REF!)</f>
        <v>#REF!</v>
      </c>
    </row>
    <row r="178" spans="1:16" hidden="1" x14ac:dyDescent="0.25">
      <c r="A178" s="5">
        <v>10427</v>
      </c>
      <c r="B178" s="5" t="s">
        <v>108</v>
      </c>
      <c r="C178" s="5" t="s">
        <v>103</v>
      </c>
      <c r="D178" s="5" t="s">
        <v>104</v>
      </c>
      <c r="E178" s="6" t="s">
        <v>18</v>
      </c>
      <c r="F178" s="10">
        <v>10</v>
      </c>
      <c r="G178" s="10">
        <v>1</v>
      </c>
      <c r="H178" s="8" t="s">
        <v>27</v>
      </c>
      <c r="I178" s="8" t="s">
        <v>20</v>
      </c>
      <c r="J178" s="8" t="s">
        <v>28</v>
      </c>
      <c r="K178" s="6" t="s">
        <v>29</v>
      </c>
      <c r="L178" s="54" t="s">
        <v>23</v>
      </c>
      <c r="M178" s="54">
        <v>330</v>
      </c>
      <c r="N178" s="54" t="s">
        <v>24</v>
      </c>
      <c r="O178" s="54">
        <v>1</v>
      </c>
      <c r="P178" t="e">
        <f xml:space="preserve"> LOOKUP(A178,#REF!,#REF!)</f>
        <v>#REF!</v>
      </c>
    </row>
    <row r="179" spans="1:16" hidden="1" x14ac:dyDescent="0.25">
      <c r="A179" s="5">
        <v>10427</v>
      </c>
      <c r="B179" s="5" t="s">
        <v>108</v>
      </c>
      <c r="C179" s="5" t="s">
        <v>103</v>
      </c>
      <c r="D179" s="5" t="s">
        <v>104</v>
      </c>
      <c r="E179" s="6" t="s">
        <v>18</v>
      </c>
      <c r="F179" s="10">
        <v>10</v>
      </c>
      <c r="G179" s="10">
        <v>1</v>
      </c>
      <c r="H179" s="8" t="s">
        <v>19</v>
      </c>
      <c r="I179" s="6" t="s">
        <v>30</v>
      </c>
      <c r="J179" s="6" t="s">
        <v>31</v>
      </c>
      <c r="K179" s="6" t="s">
        <v>32</v>
      </c>
      <c r="L179" s="54" t="s">
        <v>23</v>
      </c>
      <c r="M179" s="54">
        <v>8</v>
      </c>
      <c r="N179" s="54" t="s">
        <v>24</v>
      </c>
      <c r="O179" s="54">
        <v>1</v>
      </c>
      <c r="P179" t="e">
        <f xml:space="preserve"> LOOKUP(A179,#REF!,#REF!)</f>
        <v>#REF!</v>
      </c>
    </row>
    <row r="180" spans="1:16" hidden="1" x14ac:dyDescent="0.25">
      <c r="A180" s="5">
        <v>10427</v>
      </c>
      <c r="B180" s="5" t="s">
        <v>108</v>
      </c>
      <c r="C180" s="5" t="s">
        <v>103</v>
      </c>
      <c r="D180" s="5" t="s">
        <v>104</v>
      </c>
      <c r="E180" s="6" t="s">
        <v>18</v>
      </c>
      <c r="F180" s="10">
        <v>10</v>
      </c>
      <c r="G180" s="10">
        <v>1</v>
      </c>
      <c r="H180" s="6" t="s">
        <v>105</v>
      </c>
      <c r="I180" s="6" t="s">
        <v>30</v>
      </c>
      <c r="J180" s="6" t="s">
        <v>106</v>
      </c>
      <c r="K180" s="6" t="s">
        <v>109</v>
      </c>
      <c r="L180" s="54" t="s">
        <v>23</v>
      </c>
      <c r="M180" s="54">
        <v>2.2999999999999998</v>
      </c>
      <c r="N180" s="54" t="s">
        <v>24</v>
      </c>
      <c r="O180" s="54">
        <v>1</v>
      </c>
      <c r="P180" t="e">
        <f xml:space="preserve"> LOOKUP(A180,#REF!,#REF!)</f>
        <v>#REF!</v>
      </c>
    </row>
    <row r="181" spans="1:16" hidden="1" x14ac:dyDescent="0.25">
      <c r="A181" s="5">
        <v>10428</v>
      </c>
      <c r="B181" s="5" t="s">
        <v>110</v>
      </c>
      <c r="C181" s="5" t="s">
        <v>103</v>
      </c>
      <c r="D181" s="5" t="s">
        <v>104</v>
      </c>
      <c r="E181" s="6" t="s">
        <v>18</v>
      </c>
      <c r="F181" s="10">
        <v>10</v>
      </c>
      <c r="G181" s="10">
        <v>1</v>
      </c>
      <c r="H181" s="8" t="s">
        <v>27</v>
      </c>
      <c r="I181" s="8" t="s">
        <v>20</v>
      </c>
      <c r="J181" s="8" t="s">
        <v>28</v>
      </c>
      <c r="K181" s="6" t="s">
        <v>29</v>
      </c>
      <c r="L181" s="54" t="s">
        <v>23</v>
      </c>
      <c r="M181" s="54">
        <v>375</v>
      </c>
      <c r="N181" s="54" t="s">
        <v>24</v>
      </c>
      <c r="O181" s="54">
        <v>1</v>
      </c>
      <c r="P181" t="e">
        <f xml:space="preserve"> LOOKUP(A181,#REF!,#REF!)</f>
        <v>#REF!</v>
      </c>
    </row>
    <row r="182" spans="1:16" hidden="1" x14ac:dyDescent="0.25">
      <c r="A182" s="5">
        <v>10428</v>
      </c>
      <c r="B182" s="5" t="s">
        <v>110</v>
      </c>
      <c r="C182" s="5" t="s">
        <v>103</v>
      </c>
      <c r="D182" s="5" t="s">
        <v>104</v>
      </c>
      <c r="E182" s="6" t="s">
        <v>18</v>
      </c>
      <c r="F182" s="10">
        <v>10</v>
      </c>
      <c r="G182" s="10">
        <v>1</v>
      </c>
      <c r="H182" s="8" t="s">
        <v>19</v>
      </c>
      <c r="I182" s="6" t="s">
        <v>30</v>
      </c>
      <c r="J182" s="6" t="s">
        <v>31</v>
      </c>
      <c r="K182" s="6" t="s">
        <v>32</v>
      </c>
      <c r="L182" s="54" t="s">
        <v>23</v>
      </c>
      <c r="M182" s="54">
        <v>8</v>
      </c>
      <c r="N182" s="54" t="s">
        <v>24</v>
      </c>
      <c r="O182" s="54">
        <v>1</v>
      </c>
      <c r="P182" t="e">
        <f xml:space="preserve"> LOOKUP(A182,#REF!,#REF!)</f>
        <v>#REF!</v>
      </c>
    </row>
    <row r="183" spans="1:16" hidden="1" x14ac:dyDescent="0.25">
      <c r="A183" s="5">
        <v>10428</v>
      </c>
      <c r="B183" s="5" t="s">
        <v>110</v>
      </c>
      <c r="C183" s="5" t="s">
        <v>103</v>
      </c>
      <c r="D183" s="5" t="s">
        <v>104</v>
      </c>
      <c r="E183" s="6" t="s">
        <v>18</v>
      </c>
      <c r="F183" s="10">
        <v>10</v>
      </c>
      <c r="G183" s="10">
        <v>1</v>
      </c>
      <c r="H183" s="6" t="s">
        <v>105</v>
      </c>
      <c r="I183" s="6" t="s">
        <v>30</v>
      </c>
      <c r="J183" s="6" t="s">
        <v>106</v>
      </c>
      <c r="K183" s="6" t="s">
        <v>109</v>
      </c>
      <c r="L183" s="54" t="s">
        <v>23</v>
      </c>
      <c r="M183" s="54">
        <v>2.9</v>
      </c>
      <c r="N183" s="54" t="s">
        <v>24</v>
      </c>
      <c r="O183" s="54">
        <v>1</v>
      </c>
      <c r="P183" t="e">
        <f xml:space="preserve"> LOOKUP(A183,#REF!,#REF!)</f>
        <v>#REF!</v>
      </c>
    </row>
    <row r="184" spans="1:16" hidden="1" x14ac:dyDescent="0.25">
      <c r="A184" s="4">
        <v>10457</v>
      </c>
      <c r="B184" s="5" t="s">
        <v>50</v>
      </c>
      <c r="C184" s="5" t="s">
        <v>47</v>
      </c>
      <c r="D184" s="5" t="s">
        <v>48</v>
      </c>
      <c r="E184" s="6" t="s">
        <v>18</v>
      </c>
      <c r="F184" s="9">
        <v>15</v>
      </c>
      <c r="G184" s="9">
        <v>45</v>
      </c>
      <c r="H184" s="6" t="s">
        <v>27</v>
      </c>
      <c r="I184" s="6" t="s">
        <v>20</v>
      </c>
      <c r="J184" s="6" t="s">
        <v>28</v>
      </c>
      <c r="K184" s="6" t="s">
        <v>29</v>
      </c>
      <c r="L184" s="54" t="s">
        <v>23</v>
      </c>
      <c r="M184" s="54">
        <v>305</v>
      </c>
      <c r="N184" s="54" t="s">
        <v>24</v>
      </c>
      <c r="O184" s="54">
        <v>1</v>
      </c>
      <c r="P184" t="e">
        <f xml:space="preserve"> LOOKUP(A184,#REF!,#REF!)</f>
        <v>#REF!</v>
      </c>
    </row>
    <row r="185" spans="1:16" x14ac:dyDescent="0.25">
      <c r="A185" s="4">
        <v>10484</v>
      </c>
      <c r="B185" s="5" t="s">
        <v>85</v>
      </c>
      <c r="C185" s="6" t="s">
        <v>82</v>
      </c>
      <c r="D185" s="5" t="s">
        <v>83</v>
      </c>
      <c r="E185" s="6" t="s">
        <v>18</v>
      </c>
      <c r="F185" s="9">
        <v>1</v>
      </c>
      <c r="G185" s="9">
        <v>70</v>
      </c>
      <c r="H185" s="6" t="s">
        <v>19</v>
      </c>
      <c r="I185" s="6" t="s">
        <v>30</v>
      </c>
      <c r="J185" s="6" t="s">
        <v>73</v>
      </c>
      <c r="K185" s="6" t="s">
        <v>43</v>
      </c>
      <c r="L185" s="54" t="s">
        <v>23</v>
      </c>
      <c r="M185" s="54">
        <v>90</v>
      </c>
      <c r="N185" s="54" t="s">
        <v>24</v>
      </c>
      <c r="O185" s="54">
        <v>1</v>
      </c>
      <c r="P185" t="e">
        <f xml:space="preserve"> LOOKUP(A185,#REF!,#REF!)</f>
        <v>#REF!</v>
      </c>
    </row>
    <row r="186" spans="1:16" hidden="1" x14ac:dyDescent="0.25">
      <c r="A186" s="5">
        <v>10487</v>
      </c>
      <c r="B186" s="5" t="s">
        <v>111</v>
      </c>
      <c r="C186" s="5" t="s">
        <v>103</v>
      </c>
      <c r="D186" s="5" t="s">
        <v>104</v>
      </c>
      <c r="E186" s="6" t="s">
        <v>18</v>
      </c>
      <c r="F186" s="10">
        <v>16</v>
      </c>
      <c r="G186" s="10">
        <v>1</v>
      </c>
      <c r="H186" s="8" t="s">
        <v>27</v>
      </c>
      <c r="I186" s="8" t="s">
        <v>20</v>
      </c>
      <c r="J186" s="8" t="s">
        <v>28</v>
      </c>
      <c r="K186" s="6" t="s">
        <v>29</v>
      </c>
      <c r="L186" s="54" t="s">
        <v>23</v>
      </c>
      <c r="M186" s="54">
        <v>670</v>
      </c>
      <c r="N186" s="54" t="s">
        <v>24</v>
      </c>
      <c r="O186" s="54">
        <v>1</v>
      </c>
      <c r="P186" t="e">
        <f xml:space="preserve"> LOOKUP(A186,#REF!,#REF!)</f>
        <v>#REF!</v>
      </c>
    </row>
    <row r="187" spans="1:16" hidden="1" x14ac:dyDescent="0.25">
      <c r="A187" s="5">
        <v>10487</v>
      </c>
      <c r="B187" s="5" t="s">
        <v>111</v>
      </c>
      <c r="C187" s="5" t="s">
        <v>103</v>
      </c>
      <c r="D187" s="5" t="s">
        <v>104</v>
      </c>
      <c r="E187" s="6" t="s">
        <v>18</v>
      </c>
      <c r="F187" s="10">
        <v>16</v>
      </c>
      <c r="G187" s="10">
        <v>1</v>
      </c>
      <c r="H187" s="6" t="s">
        <v>105</v>
      </c>
      <c r="I187" s="6" t="s">
        <v>30</v>
      </c>
      <c r="J187" s="6" t="s">
        <v>106</v>
      </c>
      <c r="K187" s="6" t="s">
        <v>107</v>
      </c>
      <c r="L187" s="54" t="s">
        <v>23</v>
      </c>
      <c r="M187" s="54">
        <v>8</v>
      </c>
      <c r="N187" s="54" t="s">
        <v>24</v>
      </c>
      <c r="O187" s="54">
        <v>1</v>
      </c>
      <c r="P187" t="e">
        <f xml:space="preserve"> LOOKUP(A187,#REF!,#REF!)</f>
        <v>#REF!</v>
      </c>
    </row>
    <row r="188" spans="1:16" hidden="1" x14ac:dyDescent="0.25">
      <c r="A188" s="5">
        <v>10487</v>
      </c>
      <c r="B188" s="5" t="s">
        <v>111</v>
      </c>
      <c r="C188" s="5" t="s">
        <v>103</v>
      </c>
      <c r="D188" s="5" t="s">
        <v>104</v>
      </c>
      <c r="E188" s="6" t="s">
        <v>18</v>
      </c>
      <c r="F188" s="10">
        <v>16</v>
      </c>
      <c r="G188" s="10">
        <v>1</v>
      </c>
      <c r="H188" s="8" t="s">
        <v>19</v>
      </c>
      <c r="I188" s="6" t="s">
        <v>30</v>
      </c>
      <c r="J188" s="6" t="s">
        <v>31</v>
      </c>
      <c r="K188" s="6" t="s">
        <v>32</v>
      </c>
      <c r="L188" s="54" t="s">
        <v>23</v>
      </c>
      <c r="M188" s="54">
        <v>6</v>
      </c>
      <c r="N188" s="54" t="s">
        <v>24</v>
      </c>
      <c r="O188" s="54">
        <v>1</v>
      </c>
      <c r="P188" t="e">
        <f xml:space="preserve"> LOOKUP(A188,#REF!,#REF!)</f>
        <v>#REF!</v>
      </c>
    </row>
    <row r="189" spans="1:16" hidden="1" x14ac:dyDescent="0.25">
      <c r="A189" s="5">
        <v>10488</v>
      </c>
      <c r="B189" s="5" t="s">
        <v>112</v>
      </c>
      <c r="C189" s="5" t="s">
        <v>103</v>
      </c>
      <c r="D189" s="5" t="s">
        <v>104</v>
      </c>
      <c r="E189" s="6" t="s">
        <v>18</v>
      </c>
      <c r="F189" s="10">
        <v>25</v>
      </c>
      <c r="G189" s="10">
        <v>1</v>
      </c>
      <c r="H189" s="8" t="s">
        <v>27</v>
      </c>
      <c r="I189" s="8" t="s">
        <v>20</v>
      </c>
      <c r="J189" s="8" t="s">
        <v>28</v>
      </c>
      <c r="K189" s="6" t="s">
        <v>29</v>
      </c>
      <c r="L189" s="54" t="s">
        <v>23</v>
      </c>
      <c r="M189" s="54">
        <v>585</v>
      </c>
      <c r="N189" s="54" t="s">
        <v>24</v>
      </c>
      <c r="O189" s="54">
        <v>1</v>
      </c>
      <c r="P189" t="e">
        <f xml:space="preserve"> LOOKUP(A189,#REF!,#REF!)</f>
        <v>#REF!</v>
      </c>
    </row>
    <row r="190" spans="1:16" hidden="1" x14ac:dyDescent="0.25">
      <c r="A190" s="5">
        <v>10488</v>
      </c>
      <c r="B190" s="5" t="s">
        <v>112</v>
      </c>
      <c r="C190" s="5" t="s">
        <v>103</v>
      </c>
      <c r="D190" s="5" t="s">
        <v>104</v>
      </c>
      <c r="E190" s="6" t="s">
        <v>18</v>
      </c>
      <c r="F190" s="10">
        <v>25</v>
      </c>
      <c r="G190" s="10">
        <v>1</v>
      </c>
      <c r="H190" s="8" t="s">
        <v>19</v>
      </c>
      <c r="I190" s="6" t="s">
        <v>30</v>
      </c>
      <c r="J190" s="6" t="s">
        <v>31</v>
      </c>
      <c r="K190" s="6" t="s">
        <v>32</v>
      </c>
      <c r="L190" s="54" t="s">
        <v>23</v>
      </c>
      <c r="M190" s="54">
        <v>4.7</v>
      </c>
      <c r="N190" s="54" t="s">
        <v>24</v>
      </c>
      <c r="O190" s="54">
        <v>1</v>
      </c>
      <c r="P190" t="e">
        <f xml:space="preserve"> LOOKUP(A190,#REF!,#REF!)</f>
        <v>#REF!</v>
      </c>
    </row>
    <row r="191" spans="1:16" hidden="1" x14ac:dyDescent="0.25">
      <c r="A191" s="5">
        <v>10488</v>
      </c>
      <c r="B191" s="5" t="s">
        <v>112</v>
      </c>
      <c r="C191" s="5" t="s">
        <v>103</v>
      </c>
      <c r="D191" s="5" t="s">
        <v>104</v>
      </c>
      <c r="E191" s="6" t="s">
        <v>18</v>
      </c>
      <c r="F191" s="10">
        <v>25</v>
      </c>
      <c r="G191" s="10">
        <v>1</v>
      </c>
      <c r="H191" s="6" t="s">
        <v>105</v>
      </c>
      <c r="I191" s="6" t="s">
        <v>30</v>
      </c>
      <c r="J191" s="6" t="s">
        <v>106</v>
      </c>
      <c r="K191" s="6" t="s">
        <v>107</v>
      </c>
      <c r="L191" s="54" t="s">
        <v>23</v>
      </c>
      <c r="M191" s="54">
        <v>4.5</v>
      </c>
      <c r="N191" s="54" t="s">
        <v>24</v>
      </c>
      <c r="O191" s="54">
        <v>1</v>
      </c>
      <c r="P191" t="e">
        <f xml:space="preserve"> LOOKUP(A191,#REF!,#REF!)</f>
        <v>#REF!</v>
      </c>
    </row>
    <row r="192" spans="1:16" hidden="1" x14ac:dyDescent="0.25">
      <c r="A192" s="5">
        <v>10489</v>
      </c>
      <c r="B192" s="5" t="s">
        <v>113</v>
      </c>
      <c r="C192" s="5" t="s">
        <v>103</v>
      </c>
      <c r="D192" s="5" t="s">
        <v>104</v>
      </c>
      <c r="E192" s="6" t="s">
        <v>18</v>
      </c>
      <c r="F192" s="10">
        <v>30</v>
      </c>
      <c r="G192" s="10">
        <v>1</v>
      </c>
      <c r="H192" s="8" t="s">
        <v>27</v>
      </c>
      <c r="I192" s="8" t="s">
        <v>20</v>
      </c>
      <c r="J192" s="8" t="s">
        <v>28</v>
      </c>
      <c r="K192" s="6" t="s">
        <v>29</v>
      </c>
      <c r="L192" s="54" t="s">
        <v>23</v>
      </c>
      <c r="M192" s="54">
        <v>680</v>
      </c>
      <c r="N192" s="54" t="s">
        <v>24</v>
      </c>
      <c r="O192" s="54">
        <v>1</v>
      </c>
      <c r="P192" t="e">
        <f xml:space="preserve"> LOOKUP(A192,#REF!,#REF!)</f>
        <v>#REF!</v>
      </c>
    </row>
    <row r="193" spans="1:16" hidden="1" x14ac:dyDescent="0.25">
      <c r="A193" s="5">
        <v>10489</v>
      </c>
      <c r="B193" s="5" t="s">
        <v>113</v>
      </c>
      <c r="C193" s="5" t="s">
        <v>103</v>
      </c>
      <c r="D193" s="5" t="s">
        <v>104</v>
      </c>
      <c r="E193" s="6" t="s">
        <v>18</v>
      </c>
      <c r="F193" s="10">
        <v>30</v>
      </c>
      <c r="G193" s="10">
        <v>1</v>
      </c>
      <c r="H193" s="8" t="s">
        <v>19</v>
      </c>
      <c r="I193" s="6" t="s">
        <v>30</v>
      </c>
      <c r="J193" s="6" t="s">
        <v>31</v>
      </c>
      <c r="K193" s="6" t="s">
        <v>32</v>
      </c>
      <c r="L193" s="54" t="s">
        <v>23</v>
      </c>
      <c r="M193" s="54">
        <v>5</v>
      </c>
      <c r="N193" s="54" t="s">
        <v>24</v>
      </c>
      <c r="O193" s="54">
        <v>1</v>
      </c>
      <c r="P193" t="e">
        <f xml:space="preserve"> LOOKUP(A193,#REF!,#REF!)</f>
        <v>#REF!</v>
      </c>
    </row>
    <row r="194" spans="1:16" hidden="1" x14ac:dyDescent="0.25">
      <c r="A194" s="5">
        <v>10489</v>
      </c>
      <c r="B194" s="5" t="s">
        <v>113</v>
      </c>
      <c r="C194" s="5" t="s">
        <v>103</v>
      </c>
      <c r="D194" s="5" t="s">
        <v>104</v>
      </c>
      <c r="E194" s="6" t="s">
        <v>18</v>
      </c>
      <c r="F194" s="10">
        <v>30</v>
      </c>
      <c r="G194" s="10">
        <v>1</v>
      </c>
      <c r="H194" s="6" t="s">
        <v>105</v>
      </c>
      <c r="I194" s="6" t="s">
        <v>30</v>
      </c>
      <c r="J194" s="6" t="s">
        <v>106</v>
      </c>
      <c r="K194" s="6" t="s">
        <v>107</v>
      </c>
      <c r="L194" s="54" t="s">
        <v>23</v>
      </c>
      <c r="M194" s="54">
        <v>2</v>
      </c>
      <c r="N194" s="54" t="s">
        <v>24</v>
      </c>
      <c r="O194" s="54">
        <v>1</v>
      </c>
      <c r="P194" t="e">
        <f xml:space="preserve"> LOOKUP(A194,#REF!,#REF!)</f>
        <v>#REF!</v>
      </c>
    </row>
    <row r="195" spans="1:16" hidden="1" x14ac:dyDescent="0.25">
      <c r="A195" s="6">
        <v>10513</v>
      </c>
      <c r="B195" s="6" t="s">
        <v>89</v>
      </c>
      <c r="C195" s="6" t="s">
        <v>90</v>
      </c>
      <c r="D195" s="6" t="s">
        <v>91</v>
      </c>
      <c r="E195" s="6" t="s">
        <v>18</v>
      </c>
      <c r="F195" s="7">
        <v>10</v>
      </c>
      <c r="G195" s="7">
        <v>1</v>
      </c>
      <c r="H195" s="8" t="s">
        <v>27</v>
      </c>
      <c r="I195" s="6" t="s">
        <v>30</v>
      </c>
      <c r="J195" s="6" t="s">
        <v>31</v>
      </c>
      <c r="K195" s="6" t="s">
        <v>32</v>
      </c>
      <c r="L195" s="54" t="s">
        <v>23</v>
      </c>
      <c r="M195" s="54">
        <v>65</v>
      </c>
      <c r="N195" s="54" t="s">
        <v>24</v>
      </c>
      <c r="O195" s="54">
        <v>1</v>
      </c>
      <c r="P195" t="e">
        <f xml:space="preserve"> LOOKUP(A195,#REF!,#REF!)</f>
        <v>#REF!</v>
      </c>
    </row>
    <row r="196" spans="1:16" hidden="1" x14ac:dyDescent="0.25">
      <c r="A196" s="6">
        <v>10513</v>
      </c>
      <c r="B196" s="6" t="s">
        <v>89</v>
      </c>
      <c r="C196" s="6" t="s">
        <v>90</v>
      </c>
      <c r="D196" s="6" t="s">
        <v>91</v>
      </c>
      <c r="E196" s="6" t="s">
        <v>18</v>
      </c>
      <c r="F196" s="7">
        <v>10</v>
      </c>
      <c r="G196" s="7">
        <v>1</v>
      </c>
      <c r="H196" s="8" t="s">
        <v>19</v>
      </c>
      <c r="I196" s="8" t="s">
        <v>20</v>
      </c>
      <c r="J196" s="8" t="s">
        <v>28</v>
      </c>
      <c r="K196" s="6" t="s">
        <v>61</v>
      </c>
      <c r="L196" s="54" t="s">
        <v>23</v>
      </c>
      <c r="M196" s="54">
        <v>20</v>
      </c>
      <c r="N196" s="54" t="s">
        <v>24</v>
      </c>
      <c r="O196" s="54">
        <v>1</v>
      </c>
      <c r="P196" t="e">
        <f xml:space="preserve"> LOOKUP(A196,#REF!,#REF!)</f>
        <v>#REF!</v>
      </c>
    </row>
    <row r="197" spans="1:16" hidden="1" x14ac:dyDescent="0.25">
      <c r="A197" s="6">
        <v>10513</v>
      </c>
      <c r="B197" s="6" t="s">
        <v>89</v>
      </c>
      <c r="C197" s="6" t="s">
        <v>90</v>
      </c>
      <c r="D197" s="6" t="s">
        <v>91</v>
      </c>
      <c r="E197" s="6" t="s">
        <v>18</v>
      </c>
      <c r="F197" s="7">
        <v>10</v>
      </c>
      <c r="G197" s="7">
        <v>1</v>
      </c>
      <c r="H197" s="8" t="s">
        <v>19</v>
      </c>
      <c r="I197" s="6" t="s">
        <v>30</v>
      </c>
      <c r="J197" s="6" t="s">
        <v>31</v>
      </c>
      <c r="K197" s="6" t="s">
        <v>32</v>
      </c>
      <c r="L197" s="54" t="s">
        <v>23</v>
      </c>
      <c r="M197" s="54">
        <v>12</v>
      </c>
      <c r="N197" s="54" t="s">
        <v>24</v>
      </c>
      <c r="O197" s="54">
        <v>1</v>
      </c>
      <c r="P197" t="e">
        <f xml:space="preserve"> LOOKUP(A197,#REF!,#REF!)</f>
        <v>#REF!</v>
      </c>
    </row>
    <row r="198" spans="1:16" hidden="1" x14ac:dyDescent="0.25">
      <c r="A198" s="5">
        <v>10519</v>
      </c>
      <c r="B198" s="5" t="s">
        <v>114</v>
      </c>
      <c r="C198" s="5" t="s">
        <v>103</v>
      </c>
      <c r="D198" s="5" t="s">
        <v>104</v>
      </c>
      <c r="E198" s="6" t="s">
        <v>18</v>
      </c>
      <c r="F198" s="10">
        <v>10</v>
      </c>
      <c r="G198" s="10">
        <v>1</v>
      </c>
      <c r="H198" s="8" t="s">
        <v>27</v>
      </c>
      <c r="I198" s="8" t="s">
        <v>20</v>
      </c>
      <c r="J198" s="8" t="s">
        <v>28</v>
      </c>
      <c r="K198" s="6" t="s">
        <v>29</v>
      </c>
      <c r="L198" s="54" t="s">
        <v>23</v>
      </c>
      <c r="M198" s="54">
        <v>330</v>
      </c>
      <c r="N198" s="54" t="s">
        <v>24</v>
      </c>
      <c r="O198" s="54">
        <v>1</v>
      </c>
      <c r="P198" t="e">
        <f xml:space="preserve"> LOOKUP(A198,#REF!,#REF!)</f>
        <v>#REF!</v>
      </c>
    </row>
    <row r="199" spans="1:16" hidden="1" x14ac:dyDescent="0.25">
      <c r="A199" s="5">
        <v>10519</v>
      </c>
      <c r="B199" s="5" t="s">
        <v>114</v>
      </c>
      <c r="C199" s="5" t="s">
        <v>103</v>
      </c>
      <c r="D199" s="5" t="s">
        <v>104</v>
      </c>
      <c r="E199" s="6" t="s">
        <v>18</v>
      </c>
      <c r="F199" s="10">
        <v>10</v>
      </c>
      <c r="G199" s="10">
        <v>1</v>
      </c>
      <c r="H199" s="8" t="s">
        <v>19</v>
      </c>
      <c r="I199" s="6" t="s">
        <v>30</v>
      </c>
      <c r="J199" s="6" t="s">
        <v>31</v>
      </c>
      <c r="K199" s="6" t="s">
        <v>32</v>
      </c>
      <c r="L199" s="54" t="s">
        <v>23</v>
      </c>
      <c r="M199" s="54">
        <v>8</v>
      </c>
      <c r="N199" s="54" t="s">
        <v>24</v>
      </c>
      <c r="O199" s="54">
        <v>1</v>
      </c>
      <c r="P199" t="e">
        <f xml:space="preserve"> LOOKUP(A199,#REF!,#REF!)</f>
        <v>#REF!</v>
      </c>
    </row>
    <row r="200" spans="1:16" hidden="1" x14ac:dyDescent="0.25">
      <c r="A200" s="5">
        <v>10519</v>
      </c>
      <c r="B200" s="5" t="s">
        <v>114</v>
      </c>
      <c r="C200" s="5" t="s">
        <v>103</v>
      </c>
      <c r="D200" s="5" t="s">
        <v>104</v>
      </c>
      <c r="E200" s="6" t="s">
        <v>18</v>
      </c>
      <c r="F200" s="10">
        <v>10</v>
      </c>
      <c r="G200" s="10">
        <v>1</v>
      </c>
      <c r="H200" s="6" t="s">
        <v>105</v>
      </c>
      <c r="I200" s="6" t="s">
        <v>30</v>
      </c>
      <c r="J200" s="6" t="s">
        <v>106</v>
      </c>
      <c r="K200" s="6" t="s">
        <v>109</v>
      </c>
      <c r="L200" s="54" t="s">
        <v>23</v>
      </c>
      <c r="M200" s="54">
        <v>2.2999999999999998</v>
      </c>
      <c r="N200" s="54" t="s">
        <v>24</v>
      </c>
      <c r="O200" s="54">
        <v>1</v>
      </c>
      <c r="P200" t="e">
        <f xml:space="preserve"> LOOKUP(A200,#REF!,#REF!)</f>
        <v>#REF!</v>
      </c>
    </row>
    <row r="201" spans="1:16" hidden="1" x14ac:dyDescent="0.25">
      <c r="A201" s="5">
        <v>10520</v>
      </c>
      <c r="B201" s="5" t="s">
        <v>115</v>
      </c>
      <c r="C201" s="5" t="s">
        <v>103</v>
      </c>
      <c r="D201" s="5" t="s">
        <v>104</v>
      </c>
      <c r="E201" s="6" t="s">
        <v>18</v>
      </c>
      <c r="F201" s="10">
        <v>10</v>
      </c>
      <c r="G201" s="10">
        <v>1</v>
      </c>
      <c r="H201" s="8" t="s">
        <v>27</v>
      </c>
      <c r="I201" s="8" t="s">
        <v>20</v>
      </c>
      <c r="J201" s="8" t="s">
        <v>28</v>
      </c>
      <c r="K201" s="6" t="s">
        <v>29</v>
      </c>
      <c r="L201" s="54" t="s">
        <v>23</v>
      </c>
      <c r="M201" s="54">
        <v>375</v>
      </c>
      <c r="N201" s="54" t="s">
        <v>24</v>
      </c>
      <c r="O201" s="54">
        <v>1</v>
      </c>
      <c r="P201" t="e">
        <f xml:space="preserve"> LOOKUP(A201,#REF!,#REF!)</f>
        <v>#REF!</v>
      </c>
    </row>
    <row r="202" spans="1:16" hidden="1" x14ac:dyDescent="0.25">
      <c r="A202" s="5">
        <v>10520</v>
      </c>
      <c r="B202" s="5" t="s">
        <v>115</v>
      </c>
      <c r="C202" s="5" t="s">
        <v>103</v>
      </c>
      <c r="D202" s="5" t="s">
        <v>104</v>
      </c>
      <c r="E202" s="6" t="s">
        <v>18</v>
      </c>
      <c r="F202" s="10">
        <v>10</v>
      </c>
      <c r="G202" s="10">
        <v>1</v>
      </c>
      <c r="H202" s="8" t="s">
        <v>19</v>
      </c>
      <c r="I202" s="6" t="s">
        <v>30</v>
      </c>
      <c r="J202" s="6" t="s">
        <v>31</v>
      </c>
      <c r="K202" s="6" t="s">
        <v>32</v>
      </c>
      <c r="L202" s="54" t="s">
        <v>23</v>
      </c>
      <c r="M202" s="54">
        <v>8</v>
      </c>
      <c r="N202" s="54" t="s">
        <v>24</v>
      </c>
      <c r="O202" s="54">
        <v>1</v>
      </c>
      <c r="P202" t="e">
        <f xml:space="preserve"> LOOKUP(A202,#REF!,#REF!)</f>
        <v>#REF!</v>
      </c>
    </row>
    <row r="203" spans="1:16" hidden="1" x14ac:dyDescent="0.25">
      <c r="A203" s="5">
        <v>10520</v>
      </c>
      <c r="B203" s="5" t="s">
        <v>115</v>
      </c>
      <c r="C203" s="5" t="s">
        <v>103</v>
      </c>
      <c r="D203" s="5" t="s">
        <v>104</v>
      </c>
      <c r="E203" s="6" t="s">
        <v>18</v>
      </c>
      <c r="F203" s="10">
        <v>10</v>
      </c>
      <c r="G203" s="10">
        <v>1</v>
      </c>
      <c r="H203" s="6" t="s">
        <v>105</v>
      </c>
      <c r="I203" s="6" t="s">
        <v>30</v>
      </c>
      <c r="J203" s="6" t="s">
        <v>106</v>
      </c>
      <c r="K203" s="6" t="s">
        <v>109</v>
      </c>
      <c r="L203" s="54" t="s">
        <v>23</v>
      </c>
      <c r="M203" s="54">
        <v>2.9</v>
      </c>
      <c r="N203" s="54" t="s">
        <v>24</v>
      </c>
      <c r="O203" s="54">
        <v>1</v>
      </c>
      <c r="P203" t="e">
        <f xml:space="preserve"> LOOKUP(A203,#REF!,#REF!)</f>
        <v>#REF!</v>
      </c>
    </row>
    <row r="204" spans="1:16" hidden="1" x14ac:dyDescent="0.25">
      <c r="A204" s="4">
        <v>10524</v>
      </c>
      <c r="B204" s="5" t="s">
        <v>40</v>
      </c>
      <c r="C204" s="5" t="s">
        <v>16</v>
      </c>
      <c r="D204" s="5" t="s">
        <v>17</v>
      </c>
      <c r="E204" s="6" t="s">
        <v>18</v>
      </c>
      <c r="F204" s="7">
        <v>12</v>
      </c>
      <c r="G204" s="7">
        <v>176</v>
      </c>
      <c r="H204" s="6" t="s">
        <v>19</v>
      </c>
      <c r="I204" s="6" t="s">
        <v>25</v>
      </c>
      <c r="J204" s="6" t="s">
        <v>25</v>
      </c>
      <c r="K204" s="6" t="s">
        <v>26</v>
      </c>
      <c r="L204" s="54" t="s">
        <v>23</v>
      </c>
      <c r="M204" s="54">
        <v>61</v>
      </c>
      <c r="N204" s="54" t="s">
        <v>24</v>
      </c>
      <c r="O204" s="54">
        <v>1</v>
      </c>
      <c r="P204" t="e">
        <f xml:space="preserve"> LOOKUP(A204,#REF!,#REF!)</f>
        <v>#REF!</v>
      </c>
    </row>
    <row r="205" spans="1:16" hidden="1" x14ac:dyDescent="0.25">
      <c r="A205" s="4">
        <v>10524</v>
      </c>
      <c r="B205" s="5" t="s">
        <v>40</v>
      </c>
      <c r="C205" s="5" t="s">
        <v>16</v>
      </c>
      <c r="D205" s="5" t="s">
        <v>17</v>
      </c>
      <c r="E205" s="6" t="s">
        <v>18</v>
      </c>
      <c r="F205" s="7">
        <v>12</v>
      </c>
      <c r="G205" s="7">
        <v>176</v>
      </c>
      <c r="H205" s="6" t="s">
        <v>27</v>
      </c>
      <c r="I205" s="6" t="s">
        <v>20</v>
      </c>
      <c r="J205" s="6" t="s">
        <v>28</v>
      </c>
      <c r="K205" s="6" t="s">
        <v>29</v>
      </c>
      <c r="L205" s="54" t="s">
        <v>23</v>
      </c>
      <c r="M205" s="54">
        <v>48.8</v>
      </c>
      <c r="N205" s="54" t="s">
        <v>24</v>
      </c>
      <c r="O205" s="54">
        <v>1</v>
      </c>
      <c r="P205" t="e">
        <f xml:space="preserve"> LOOKUP(A205,#REF!,#REF!)</f>
        <v>#REF!</v>
      </c>
    </row>
    <row r="206" spans="1:16" hidden="1" x14ac:dyDescent="0.25">
      <c r="A206" s="4">
        <v>10524</v>
      </c>
      <c r="B206" s="5" t="s">
        <v>40</v>
      </c>
      <c r="C206" s="5" t="s">
        <v>16</v>
      </c>
      <c r="D206" s="5" t="s">
        <v>17</v>
      </c>
      <c r="E206" s="6" t="s">
        <v>18</v>
      </c>
      <c r="F206" s="7">
        <v>12</v>
      </c>
      <c r="G206" s="7">
        <v>176</v>
      </c>
      <c r="H206" s="6" t="s">
        <v>27</v>
      </c>
      <c r="I206" s="6" t="s">
        <v>30</v>
      </c>
      <c r="J206" s="6" t="s">
        <v>31</v>
      </c>
      <c r="K206" s="6" t="s">
        <v>32</v>
      </c>
      <c r="L206" s="54" t="s">
        <v>23</v>
      </c>
      <c r="M206" s="54">
        <v>21.2</v>
      </c>
      <c r="N206" s="54" t="s">
        <v>24</v>
      </c>
      <c r="O206" s="54">
        <v>1</v>
      </c>
      <c r="P206" t="e">
        <f xml:space="preserve"> LOOKUP(A206,#REF!,#REF!)</f>
        <v>#REF!</v>
      </c>
    </row>
    <row r="207" spans="1:16" hidden="1" x14ac:dyDescent="0.25">
      <c r="A207" s="4">
        <v>10524</v>
      </c>
      <c r="B207" s="5" t="s">
        <v>40</v>
      </c>
      <c r="C207" s="5" t="s">
        <v>16</v>
      </c>
      <c r="D207" s="5" t="s">
        <v>17</v>
      </c>
      <c r="E207" s="6" t="s">
        <v>18</v>
      </c>
      <c r="F207" s="7">
        <v>12</v>
      </c>
      <c r="G207" s="7">
        <v>176</v>
      </c>
      <c r="H207" s="6" t="s">
        <v>19</v>
      </c>
      <c r="I207" s="8" t="s">
        <v>20</v>
      </c>
      <c r="J207" s="8" t="s">
        <v>21</v>
      </c>
      <c r="K207" s="6" t="s">
        <v>22</v>
      </c>
      <c r="L207" s="54" t="s">
        <v>23</v>
      </c>
      <c r="M207" s="54">
        <v>1.7</v>
      </c>
      <c r="N207" s="54" t="s">
        <v>24</v>
      </c>
      <c r="O207" s="54">
        <v>1</v>
      </c>
      <c r="P207" t="e">
        <f xml:space="preserve"> LOOKUP(A207,#REF!,#REF!)</f>
        <v>#REF!</v>
      </c>
    </row>
    <row r="208" spans="1:16" hidden="1" x14ac:dyDescent="0.25">
      <c r="A208" s="5">
        <v>10546</v>
      </c>
      <c r="B208" s="5" t="s">
        <v>142</v>
      </c>
      <c r="C208" s="5" t="s">
        <v>143</v>
      </c>
      <c r="D208" s="5" t="s">
        <v>104</v>
      </c>
      <c r="E208" s="6" t="s">
        <v>18</v>
      </c>
      <c r="F208" s="10">
        <v>20</v>
      </c>
      <c r="G208" s="10">
        <v>75</v>
      </c>
      <c r="H208" s="6" t="s">
        <v>38</v>
      </c>
      <c r="I208" s="6" t="s">
        <v>121</v>
      </c>
      <c r="J208" s="6" t="s">
        <v>121</v>
      </c>
      <c r="K208" s="6" t="s">
        <v>122</v>
      </c>
      <c r="L208" s="54" t="s">
        <v>23</v>
      </c>
      <c r="M208" s="54">
        <v>16000</v>
      </c>
      <c r="N208" s="54" t="s">
        <v>24</v>
      </c>
      <c r="O208" s="54">
        <v>1</v>
      </c>
      <c r="P208" t="e">
        <f xml:space="preserve"> LOOKUP(A208,#REF!,#REF!)</f>
        <v>#REF!</v>
      </c>
    </row>
    <row r="209" spans="1:16" hidden="1" x14ac:dyDescent="0.25">
      <c r="A209" s="5">
        <v>10546</v>
      </c>
      <c r="B209" s="5" t="s">
        <v>142</v>
      </c>
      <c r="C209" s="5" t="s">
        <v>143</v>
      </c>
      <c r="D209" s="5" t="s">
        <v>104</v>
      </c>
      <c r="E209" s="6" t="s">
        <v>18</v>
      </c>
      <c r="F209" s="10">
        <v>20</v>
      </c>
      <c r="G209" s="10">
        <v>75</v>
      </c>
      <c r="H209" s="6" t="s">
        <v>38</v>
      </c>
      <c r="I209" s="6" t="s">
        <v>30</v>
      </c>
      <c r="J209" s="6" t="s">
        <v>31</v>
      </c>
      <c r="K209" s="6" t="s">
        <v>43</v>
      </c>
      <c r="L209" s="54" t="s">
        <v>23</v>
      </c>
      <c r="M209" s="54">
        <v>200</v>
      </c>
      <c r="N209" s="54" t="s">
        <v>24</v>
      </c>
      <c r="O209" s="54">
        <v>1</v>
      </c>
      <c r="P209" t="e">
        <f xml:space="preserve"> LOOKUP(A209,#REF!,#REF!)</f>
        <v>#REF!</v>
      </c>
    </row>
    <row r="210" spans="1:16" hidden="1" x14ac:dyDescent="0.25">
      <c r="A210" s="5">
        <v>10547</v>
      </c>
      <c r="B210" s="5" t="s">
        <v>144</v>
      </c>
      <c r="C210" s="5" t="s">
        <v>143</v>
      </c>
      <c r="D210" s="5" t="s">
        <v>104</v>
      </c>
      <c r="E210" s="6" t="s">
        <v>18</v>
      </c>
      <c r="F210" s="10">
        <v>10</v>
      </c>
      <c r="G210" s="10">
        <v>48</v>
      </c>
      <c r="H210" s="6" t="s">
        <v>38</v>
      </c>
      <c r="I210" s="6" t="s">
        <v>121</v>
      </c>
      <c r="J210" s="6" t="s">
        <v>121</v>
      </c>
      <c r="K210" s="6" t="s">
        <v>122</v>
      </c>
      <c r="L210" s="54" t="s">
        <v>23</v>
      </c>
      <c r="M210" s="54">
        <v>16000</v>
      </c>
      <c r="N210" s="54" t="s">
        <v>24</v>
      </c>
      <c r="O210" s="54">
        <v>1</v>
      </c>
      <c r="P210" t="e">
        <f xml:space="preserve"> LOOKUP(A210,#REF!,#REF!)</f>
        <v>#REF!</v>
      </c>
    </row>
    <row r="211" spans="1:16" hidden="1" x14ac:dyDescent="0.25">
      <c r="A211" s="5">
        <v>10547</v>
      </c>
      <c r="B211" s="5" t="s">
        <v>144</v>
      </c>
      <c r="C211" s="5" t="s">
        <v>143</v>
      </c>
      <c r="D211" s="5" t="s">
        <v>104</v>
      </c>
      <c r="E211" s="6" t="s">
        <v>18</v>
      </c>
      <c r="F211" s="10">
        <v>10</v>
      </c>
      <c r="G211" s="10">
        <v>48</v>
      </c>
      <c r="H211" s="6" t="s">
        <v>38</v>
      </c>
      <c r="I211" s="6" t="s">
        <v>30</v>
      </c>
      <c r="J211" s="6" t="s">
        <v>31</v>
      </c>
      <c r="K211" s="6" t="s">
        <v>43</v>
      </c>
      <c r="L211" s="54" t="s">
        <v>23</v>
      </c>
      <c r="M211" s="54">
        <v>200</v>
      </c>
      <c r="N211" s="54" t="s">
        <v>24</v>
      </c>
      <c r="O211" s="54">
        <v>1</v>
      </c>
      <c r="P211" t="e">
        <f xml:space="preserve"> LOOKUP(A211,#REF!,#REF!)</f>
        <v>#REF!</v>
      </c>
    </row>
    <row r="212" spans="1:16" hidden="1" x14ac:dyDescent="0.25">
      <c r="A212" s="5">
        <v>10555</v>
      </c>
      <c r="B212" s="5" t="s">
        <v>139</v>
      </c>
      <c r="C212" s="5" t="s">
        <v>140</v>
      </c>
      <c r="D212" s="5" t="s">
        <v>37</v>
      </c>
      <c r="E212" s="6" t="s">
        <v>18</v>
      </c>
      <c r="F212" s="10">
        <v>1</v>
      </c>
      <c r="G212" s="10">
        <v>1</v>
      </c>
      <c r="H212" s="8" t="s">
        <v>19</v>
      </c>
      <c r="I212" s="6" t="s">
        <v>30</v>
      </c>
      <c r="J212" s="6" t="s">
        <v>138</v>
      </c>
      <c r="K212" s="6" t="s">
        <v>141</v>
      </c>
      <c r="L212" s="54" t="s">
        <v>23</v>
      </c>
      <c r="M212" s="54">
        <v>204</v>
      </c>
      <c r="N212" s="54" t="s">
        <v>24</v>
      </c>
      <c r="O212" s="54">
        <v>1</v>
      </c>
      <c r="P212" t="e">
        <f xml:space="preserve"> LOOKUP(A212,#REF!,#REF!)</f>
        <v>#REF!</v>
      </c>
    </row>
    <row r="213" spans="1:16" hidden="1" x14ac:dyDescent="0.25">
      <c r="A213" s="5">
        <v>10555</v>
      </c>
      <c r="B213" s="5" t="s">
        <v>139</v>
      </c>
      <c r="C213" s="5" t="s">
        <v>140</v>
      </c>
      <c r="D213" s="5" t="s">
        <v>37</v>
      </c>
      <c r="E213" s="6" t="s">
        <v>18</v>
      </c>
      <c r="F213" s="10">
        <v>1</v>
      </c>
      <c r="G213" s="10">
        <v>1</v>
      </c>
      <c r="H213" s="8" t="s">
        <v>19</v>
      </c>
      <c r="I213" s="6" t="s">
        <v>30</v>
      </c>
      <c r="J213" s="6" t="s">
        <v>106</v>
      </c>
      <c r="K213" s="6"/>
      <c r="L213" s="54" t="s">
        <v>23</v>
      </c>
      <c r="M213" s="54">
        <v>44</v>
      </c>
      <c r="N213" s="54" t="s">
        <v>24</v>
      </c>
      <c r="O213" s="54">
        <v>1</v>
      </c>
      <c r="P213" t="e">
        <f xml:space="preserve"> LOOKUP(A213,#REF!,#REF!)</f>
        <v>#REF!</v>
      </c>
    </row>
    <row r="214" spans="1:16" hidden="1" x14ac:dyDescent="0.25">
      <c r="A214" s="5">
        <v>10555</v>
      </c>
      <c r="B214" s="5" t="s">
        <v>139</v>
      </c>
      <c r="C214" s="5" t="s">
        <v>140</v>
      </c>
      <c r="D214" s="5" t="s">
        <v>37</v>
      </c>
      <c r="E214" s="6" t="s">
        <v>18</v>
      </c>
      <c r="F214" s="10">
        <v>1</v>
      </c>
      <c r="G214" s="10">
        <v>1</v>
      </c>
      <c r="H214" s="8" t="s">
        <v>19</v>
      </c>
      <c r="I214" s="8" t="s">
        <v>20</v>
      </c>
      <c r="J214" s="6" t="s">
        <v>21</v>
      </c>
      <c r="K214" s="6" t="s">
        <v>22</v>
      </c>
      <c r="L214" s="54" t="s">
        <v>23</v>
      </c>
      <c r="M214" s="54">
        <v>3</v>
      </c>
      <c r="N214" s="54" t="s">
        <v>24</v>
      </c>
      <c r="O214" s="54">
        <v>1</v>
      </c>
      <c r="P214" t="e">
        <f xml:space="preserve"> LOOKUP(A214,#REF!,#REF!)</f>
        <v>#REF!</v>
      </c>
    </row>
    <row r="215" spans="1:16" hidden="1" x14ac:dyDescent="0.25">
      <c r="A215" s="4">
        <v>10588</v>
      </c>
      <c r="B215" s="5" t="s">
        <v>92</v>
      </c>
      <c r="C215" s="5" t="s">
        <v>90</v>
      </c>
      <c r="D215" s="5" t="s">
        <v>91</v>
      </c>
      <c r="E215" s="6" t="s">
        <v>18</v>
      </c>
      <c r="F215" s="9">
        <v>5</v>
      </c>
      <c r="G215" s="9">
        <v>30</v>
      </c>
      <c r="H215" s="6" t="s">
        <v>19</v>
      </c>
      <c r="I215" s="6" t="s">
        <v>20</v>
      </c>
      <c r="J215" s="6" t="s">
        <v>21</v>
      </c>
      <c r="K215" s="6" t="s">
        <v>61</v>
      </c>
      <c r="L215" s="54" t="s">
        <v>23</v>
      </c>
      <c r="M215" s="54">
        <v>80</v>
      </c>
      <c r="N215" s="54" t="s">
        <v>24</v>
      </c>
      <c r="O215" s="54">
        <v>1</v>
      </c>
      <c r="P215" t="e">
        <f xml:space="preserve"> LOOKUP(A215,#REF!,#REF!)</f>
        <v>#REF!</v>
      </c>
    </row>
    <row r="216" spans="1:16" hidden="1" x14ac:dyDescent="0.25">
      <c r="A216" s="4">
        <v>10588</v>
      </c>
      <c r="B216" s="5" t="s">
        <v>92</v>
      </c>
      <c r="C216" s="5" t="s">
        <v>90</v>
      </c>
      <c r="D216" s="5" t="s">
        <v>91</v>
      </c>
      <c r="E216" s="6" t="s">
        <v>18</v>
      </c>
      <c r="F216" s="9">
        <v>5</v>
      </c>
      <c r="G216" s="9">
        <v>30</v>
      </c>
      <c r="H216" s="6" t="s">
        <v>27</v>
      </c>
      <c r="I216" s="6" t="s">
        <v>30</v>
      </c>
      <c r="J216" s="6" t="s">
        <v>31</v>
      </c>
      <c r="K216" s="6" t="s">
        <v>32</v>
      </c>
      <c r="L216" s="54" t="s">
        <v>23</v>
      </c>
      <c r="M216" s="54">
        <v>70</v>
      </c>
      <c r="N216" s="54" t="s">
        <v>24</v>
      </c>
      <c r="O216" s="54">
        <v>1</v>
      </c>
      <c r="P216" t="e">
        <f xml:space="preserve"> LOOKUP(A216,#REF!,#REF!)</f>
        <v>#REF!</v>
      </c>
    </row>
    <row r="217" spans="1:16" hidden="1" x14ac:dyDescent="0.25">
      <c r="A217" s="4">
        <v>10588</v>
      </c>
      <c r="B217" s="5" t="s">
        <v>92</v>
      </c>
      <c r="C217" s="5" t="s">
        <v>90</v>
      </c>
      <c r="D217" s="5" t="s">
        <v>91</v>
      </c>
      <c r="E217" s="6" t="s">
        <v>18</v>
      </c>
      <c r="F217" s="9">
        <v>5</v>
      </c>
      <c r="G217" s="9">
        <v>30</v>
      </c>
      <c r="H217" s="6" t="s">
        <v>19</v>
      </c>
      <c r="I217" s="6" t="s">
        <v>30</v>
      </c>
      <c r="J217" s="6" t="s">
        <v>31</v>
      </c>
      <c r="K217" s="6" t="s">
        <v>32</v>
      </c>
      <c r="L217" s="54" t="s">
        <v>23</v>
      </c>
      <c r="M217" s="54">
        <v>35</v>
      </c>
      <c r="N217" s="54" t="s">
        <v>24</v>
      </c>
      <c r="O217" s="54">
        <v>1</v>
      </c>
      <c r="P217" t="e">
        <f xml:space="preserve"> LOOKUP(A217,#REF!,#REF!)</f>
        <v>#REF!</v>
      </c>
    </row>
    <row r="218" spans="1:16" hidden="1" x14ac:dyDescent="0.25">
      <c r="A218" s="4">
        <v>10589</v>
      </c>
      <c r="B218" s="5" t="s">
        <v>93</v>
      </c>
      <c r="C218" s="5" t="s">
        <v>90</v>
      </c>
      <c r="D218" s="5" t="s">
        <v>91</v>
      </c>
      <c r="E218" s="6" t="s">
        <v>18</v>
      </c>
      <c r="F218" s="9">
        <v>4</v>
      </c>
      <c r="G218" s="9">
        <v>1</v>
      </c>
      <c r="H218" s="6" t="s">
        <v>27</v>
      </c>
      <c r="I218" s="6" t="s">
        <v>30</v>
      </c>
      <c r="J218" s="6" t="s">
        <v>31</v>
      </c>
      <c r="K218" s="6" t="s">
        <v>32</v>
      </c>
      <c r="L218" s="54" t="s">
        <v>23</v>
      </c>
      <c r="M218" s="54">
        <v>60</v>
      </c>
      <c r="N218" s="54" t="s">
        <v>24</v>
      </c>
      <c r="O218" s="54">
        <v>1</v>
      </c>
      <c r="P218" t="e">
        <f xml:space="preserve"> LOOKUP(A218,#REF!,#REF!)</f>
        <v>#REF!</v>
      </c>
    </row>
    <row r="219" spans="1:16" hidden="1" x14ac:dyDescent="0.25">
      <c r="A219" s="4">
        <v>10589</v>
      </c>
      <c r="B219" s="5" t="s">
        <v>93</v>
      </c>
      <c r="C219" s="5" t="s">
        <v>90</v>
      </c>
      <c r="D219" s="5" t="s">
        <v>91</v>
      </c>
      <c r="E219" s="6" t="s">
        <v>18</v>
      </c>
      <c r="F219" s="9">
        <v>4</v>
      </c>
      <c r="G219" s="9">
        <v>1</v>
      </c>
      <c r="H219" s="6" t="s">
        <v>19</v>
      </c>
      <c r="I219" s="6" t="s">
        <v>20</v>
      </c>
      <c r="J219" s="6" t="s">
        <v>21</v>
      </c>
      <c r="K219" s="6" t="s">
        <v>61</v>
      </c>
      <c r="L219" s="54" t="s">
        <v>23</v>
      </c>
      <c r="M219" s="54">
        <v>45</v>
      </c>
      <c r="N219" s="54" t="s">
        <v>24</v>
      </c>
      <c r="O219" s="54">
        <v>1</v>
      </c>
      <c r="P219" t="e">
        <f xml:space="preserve"> LOOKUP(A219,#REF!,#REF!)</f>
        <v>#REF!</v>
      </c>
    </row>
    <row r="220" spans="1:16" hidden="1" x14ac:dyDescent="0.25">
      <c r="A220" s="4">
        <v>10589</v>
      </c>
      <c r="B220" s="5" t="s">
        <v>93</v>
      </c>
      <c r="C220" s="5" t="s">
        <v>90</v>
      </c>
      <c r="D220" s="5" t="s">
        <v>91</v>
      </c>
      <c r="E220" s="6" t="s">
        <v>18</v>
      </c>
      <c r="F220" s="9">
        <v>4</v>
      </c>
      <c r="G220" s="9">
        <v>1</v>
      </c>
      <c r="H220" s="6" t="s">
        <v>19</v>
      </c>
      <c r="I220" s="6" t="s">
        <v>30</v>
      </c>
      <c r="J220" s="6" t="s">
        <v>31</v>
      </c>
      <c r="K220" s="6" t="s">
        <v>32</v>
      </c>
      <c r="L220" s="54" t="s">
        <v>23</v>
      </c>
      <c r="M220" s="54">
        <v>20</v>
      </c>
      <c r="N220" s="54" t="s">
        <v>24</v>
      </c>
      <c r="O220" s="54">
        <v>1</v>
      </c>
      <c r="P220" t="e">
        <f xml:space="preserve"> LOOKUP(A220,#REF!,#REF!)</f>
        <v>#REF!</v>
      </c>
    </row>
    <row r="221" spans="1:16" hidden="1" x14ac:dyDescent="0.25">
      <c r="A221" s="4">
        <v>10592</v>
      </c>
      <c r="B221" s="5" t="s">
        <v>64</v>
      </c>
      <c r="C221" s="5" t="s">
        <v>57</v>
      </c>
      <c r="D221" s="5" t="s">
        <v>58</v>
      </c>
      <c r="E221" s="6" t="s">
        <v>18</v>
      </c>
      <c r="F221" s="9">
        <v>20</v>
      </c>
      <c r="G221" s="9">
        <v>1</v>
      </c>
      <c r="H221" s="6" t="s">
        <v>27</v>
      </c>
      <c r="I221" s="6" t="s">
        <v>20</v>
      </c>
      <c r="J221" s="6" t="s">
        <v>28</v>
      </c>
      <c r="K221" s="6" t="s">
        <v>29</v>
      </c>
      <c r="L221" s="54" t="s">
        <v>23</v>
      </c>
      <c r="M221" s="54">
        <v>450</v>
      </c>
      <c r="N221" s="54" t="s">
        <v>24</v>
      </c>
      <c r="O221" s="54">
        <v>1</v>
      </c>
      <c r="P221" t="e">
        <f xml:space="preserve"> LOOKUP(A221,#REF!,#REF!)</f>
        <v>#REF!</v>
      </c>
    </row>
    <row r="222" spans="1:16" hidden="1" x14ac:dyDescent="0.25">
      <c r="A222" s="4">
        <v>10592</v>
      </c>
      <c r="B222" s="5" t="s">
        <v>64</v>
      </c>
      <c r="C222" s="5" t="s">
        <v>57</v>
      </c>
      <c r="D222" s="5" t="s">
        <v>58</v>
      </c>
      <c r="E222" s="6" t="s">
        <v>18</v>
      </c>
      <c r="F222" s="9">
        <v>20</v>
      </c>
      <c r="G222" s="9">
        <v>1</v>
      </c>
      <c r="H222" s="6" t="s">
        <v>19</v>
      </c>
      <c r="I222" s="6" t="s">
        <v>20</v>
      </c>
      <c r="J222" s="6" t="s">
        <v>28</v>
      </c>
      <c r="K222" s="6" t="s">
        <v>29</v>
      </c>
      <c r="L222" s="54" t="s">
        <v>23</v>
      </c>
      <c r="M222" s="54">
        <v>12.5</v>
      </c>
      <c r="N222" s="54" t="s">
        <v>24</v>
      </c>
      <c r="O222" s="54">
        <v>1</v>
      </c>
      <c r="P222" t="e">
        <f xml:space="preserve"> LOOKUP(A222,#REF!,#REF!)</f>
        <v>#REF!</v>
      </c>
    </row>
    <row r="223" spans="1:16" hidden="1" x14ac:dyDescent="0.25">
      <c r="A223" s="6">
        <v>10599</v>
      </c>
      <c r="B223" s="6" t="s">
        <v>51</v>
      </c>
      <c r="C223" s="5" t="s">
        <v>47</v>
      </c>
      <c r="D223" s="5" t="s">
        <v>52</v>
      </c>
      <c r="E223" s="6" t="s">
        <v>18</v>
      </c>
      <c r="F223" s="9">
        <v>15</v>
      </c>
      <c r="G223" s="9">
        <v>45</v>
      </c>
      <c r="H223" s="6" t="s">
        <v>27</v>
      </c>
      <c r="I223" s="6" t="s">
        <v>20</v>
      </c>
      <c r="J223" s="6" t="s">
        <v>28</v>
      </c>
      <c r="K223" s="6" t="s">
        <v>29</v>
      </c>
      <c r="L223" s="54" t="s">
        <v>23</v>
      </c>
      <c r="M223" s="54">
        <v>305</v>
      </c>
      <c r="N223" s="54" t="s">
        <v>24</v>
      </c>
      <c r="O223" s="54">
        <v>1</v>
      </c>
      <c r="P223" t="e">
        <f xml:space="preserve"> LOOKUP(A223,#REF!,#REF!)</f>
        <v>#REF!</v>
      </c>
    </row>
    <row r="224" spans="1:16" hidden="1" x14ac:dyDescent="0.25">
      <c r="A224" s="6">
        <v>10602</v>
      </c>
      <c r="B224" s="6" t="s">
        <v>94</v>
      </c>
      <c r="C224" s="6" t="s">
        <v>90</v>
      </c>
      <c r="D224" s="6" t="s">
        <v>91</v>
      </c>
      <c r="E224" s="6" t="s">
        <v>18</v>
      </c>
      <c r="F224" s="7">
        <v>10</v>
      </c>
      <c r="G224" s="7">
        <v>1</v>
      </c>
      <c r="H224" s="8" t="s">
        <v>27</v>
      </c>
      <c r="I224" s="6" t="s">
        <v>30</v>
      </c>
      <c r="J224" s="6" t="s">
        <v>31</v>
      </c>
      <c r="K224" s="6" t="s">
        <v>32</v>
      </c>
      <c r="L224" s="54" t="s">
        <v>23</v>
      </c>
      <c r="M224" s="54">
        <v>65</v>
      </c>
      <c r="N224" s="54" t="s">
        <v>24</v>
      </c>
      <c r="O224" s="54">
        <v>1</v>
      </c>
      <c r="P224" t="e">
        <f xml:space="preserve"> LOOKUP(A224,#REF!,#REF!)</f>
        <v>#REF!</v>
      </c>
    </row>
    <row r="225" spans="1:16" hidden="1" x14ac:dyDescent="0.25">
      <c r="A225" s="6">
        <v>10602</v>
      </c>
      <c r="B225" s="6" t="s">
        <v>94</v>
      </c>
      <c r="C225" s="6" t="s">
        <v>90</v>
      </c>
      <c r="D225" s="6" t="s">
        <v>91</v>
      </c>
      <c r="E225" s="6" t="s">
        <v>18</v>
      </c>
      <c r="F225" s="7">
        <v>10</v>
      </c>
      <c r="G225" s="7">
        <v>1</v>
      </c>
      <c r="H225" s="8" t="s">
        <v>19</v>
      </c>
      <c r="I225" s="8" t="s">
        <v>20</v>
      </c>
      <c r="J225" s="8" t="s">
        <v>28</v>
      </c>
      <c r="K225" s="6" t="s">
        <v>61</v>
      </c>
      <c r="L225" s="54" t="s">
        <v>23</v>
      </c>
      <c r="M225" s="54">
        <v>20</v>
      </c>
      <c r="N225" s="54" t="s">
        <v>24</v>
      </c>
      <c r="O225" s="54">
        <v>1</v>
      </c>
      <c r="P225" t="e">
        <f xml:space="preserve"> LOOKUP(A225,#REF!,#REF!)</f>
        <v>#REF!</v>
      </c>
    </row>
    <row r="226" spans="1:16" hidden="1" x14ac:dyDescent="0.25">
      <c r="A226" s="6">
        <v>10602</v>
      </c>
      <c r="B226" s="6" t="s">
        <v>94</v>
      </c>
      <c r="C226" s="6" t="s">
        <v>90</v>
      </c>
      <c r="D226" s="6" t="s">
        <v>91</v>
      </c>
      <c r="E226" s="6" t="s">
        <v>18</v>
      </c>
      <c r="F226" s="7">
        <v>10</v>
      </c>
      <c r="G226" s="7">
        <v>1</v>
      </c>
      <c r="H226" s="8" t="s">
        <v>19</v>
      </c>
      <c r="I226" s="6" t="s">
        <v>30</v>
      </c>
      <c r="J226" s="6" t="s">
        <v>31</v>
      </c>
      <c r="K226" s="6" t="s">
        <v>32</v>
      </c>
      <c r="L226" s="54" t="s">
        <v>23</v>
      </c>
      <c r="M226" s="54">
        <v>12</v>
      </c>
      <c r="N226" s="54" t="s">
        <v>24</v>
      </c>
      <c r="O226" s="54">
        <v>1</v>
      </c>
      <c r="P226" t="e">
        <f xml:space="preserve"> LOOKUP(A226,#REF!,#REF!)</f>
        <v>#REF!</v>
      </c>
    </row>
    <row r="227" spans="1:16" hidden="1" x14ac:dyDescent="0.25">
      <c r="A227" s="4">
        <v>10604</v>
      </c>
      <c r="B227" s="5" t="s">
        <v>53</v>
      </c>
      <c r="C227" s="5" t="s">
        <v>47</v>
      </c>
      <c r="D227" s="5" t="s">
        <v>54</v>
      </c>
      <c r="E227" s="6" t="s">
        <v>18</v>
      </c>
      <c r="F227" s="9">
        <v>16</v>
      </c>
      <c r="G227" s="9">
        <v>95</v>
      </c>
      <c r="H227" s="6" t="s">
        <v>27</v>
      </c>
      <c r="I227" s="6" t="s">
        <v>20</v>
      </c>
      <c r="J227" s="6" t="s">
        <v>28</v>
      </c>
      <c r="K227" s="6" t="s">
        <v>29</v>
      </c>
      <c r="L227" s="54" t="s">
        <v>23</v>
      </c>
      <c r="M227" s="54">
        <v>420</v>
      </c>
      <c r="N227" s="54" t="s">
        <v>24</v>
      </c>
      <c r="O227" s="54">
        <v>1</v>
      </c>
      <c r="P227" t="e">
        <f xml:space="preserve"> LOOKUP(A227,#REF!,#REF!)</f>
        <v>#REF!</v>
      </c>
    </row>
    <row r="228" spans="1:16" hidden="1" x14ac:dyDescent="0.25">
      <c r="A228" s="4">
        <v>10604</v>
      </c>
      <c r="B228" s="5" t="s">
        <v>53</v>
      </c>
      <c r="C228" s="5" t="s">
        <v>47</v>
      </c>
      <c r="D228" s="5" t="s">
        <v>54</v>
      </c>
      <c r="E228" s="6" t="s">
        <v>18</v>
      </c>
      <c r="F228" s="9">
        <v>16</v>
      </c>
      <c r="G228" s="9">
        <v>95</v>
      </c>
      <c r="H228" s="6" t="s">
        <v>19</v>
      </c>
      <c r="I228" s="6" t="s">
        <v>20</v>
      </c>
      <c r="J228" s="6" t="s">
        <v>28</v>
      </c>
      <c r="K228" s="6" t="s">
        <v>29</v>
      </c>
      <c r="L228" s="54" t="s">
        <v>23</v>
      </c>
      <c r="M228" s="54">
        <v>26</v>
      </c>
      <c r="N228" s="54" t="s">
        <v>24</v>
      </c>
      <c r="O228" s="54">
        <v>1</v>
      </c>
      <c r="P228" t="e">
        <f xml:space="preserve"> LOOKUP(A228,#REF!,#REF!)</f>
        <v>#REF!</v>
      </c>
    </row>
    <row r="229" spans="1:16" hidden="1" x14ac:dyDescent="0.25">
      <c r="A229" s="4">
        <v>10604</v>
      </c>
      <c r="B229" s="5" t="s">
        <v>53</v>
      </c>
      <c r="C229" s="5" t="s">
        <v>47</v>
      </c>
      <c r="D229" s="5" t="s">
        <v>54</v>
      </c>
      <c r="E229" s="6" t="s">
        <v>18</v>
      </c>
      <c r="F229" s="9">
        <v>16</v>
      </c>
      <c r="G229" s="9">
        <v>95</v>
      </c>
      <c r="H229" s="6" t="s">
        <v>19</v>
      </c>
      <c r="I229" s="6" t="s">
        <v>30</v>
      </c>
      <c r="J229" s="6" t="s">
        <v>31</v>
      </c>
      <c r="K229" s="6" t="s">
        <v>32</v>
      </c>
      <c r="L229" s="54" t="s">
        <v>23</v>
      </c>
      <c r="M229" s="54">
        <v>4</v>
      </c>
      <c r="N229" s="54" t="s">
        <v>24</v>
      </c>
      <c r="O229" s="54">
        <v>1</v>
      </c>
      <c r="P229" t="e">
        <f xml:space="preserve"> LOOKUP(A229,#REF!,#REF!)</f>
        <v>#REF!</v>
      </c>
    </row>
    <row r="230" spans="1:16" hidden="1" x14ac:dyDescent="0.25">
      <c r="A230" s="4">
        <v>10605</v>
      </c>
      <c r="B230" s="5" t="s">
        <v>55</v>
      </c>
      <c r="C230" s="5" t="s">
        <v>47</v>
      </c>
      <c r="D230" s="5" t="s">
        <v>54</v>
      </c>
      <c r="E230" s="6" t="s">
        <v>18</v>
      </c>
      <c r="F230" s="7">
        <v>12</v>
      </c>
      <c r="G230" s="7">
        <v>40</v>
      </c>
      <c r="H230" s="6" t="s">
        <v>27</v>
      </c>
      <c r="I230" s="6" t="s">
        <v>20</v>
      </c>
      <c r="J230" s="6" t="s">
        <v>28</v>
      </c>
      <c r="K230" s="6" t="s">
        <v>29</v>
      </c>
      <c r="L230" s="54" t="s">
        <v>23</v>
      </c>
      <c r="M230" s="54">
        <v>217</v>
      </c>
      <c r="N230" s="54" t="s">
        <v>24</v>
      </c>
      <c r="O230" s="54">
        <v>1</v>
      </c>
      <c r="P230" t="e">
        <f xml:space="preserve"> LOOKUP(A230,#REF!,#REF!)</f>
        <v>#REF!</v>
      </c>
    </row>
    <row r="231" spans="1:16" hidden="1" x14ac:dyDescent="0.25">
      <c r="A231" s="4">
        <v>10605</v>
      </c>
      <c r="B231" s="5" t="s">
        <v>55</v>
      </c>
      <c r="C231" s="5" t="s">
        <v>47</v>
      </c>
      <c r="D231" s="5" t="s">
        <v>54</v>
      </c>
      <c r="E231" s="6" t="s">
        <v>18</v>
      </c>
      <c r="F231" s="7">
        <v>12</v>
      </c>
      <c r="G231" s="7">
        <v>40</v>
      </c>
      <c r="H231" s="6" t="s">
        <v>19</v>
      </c>
      <c r="I231" s="6" t="s">
        <v>20</v>
      </c>
      <c r="J231" s="6" t="s">
        <v>28</v>
      </c>
      <c r="K231" s="6" t="s">
        <v>29</v>
      </c>
      <c r="L231" s="54" t="s">
        <v>23</v>
      </c>
      <c r="M231" s="54">
        <v>56</v>
      </c>
      <c r="N231" s="54" t="s">
        <v>24</v>
      </c>
      <c r="O231" s="54">
        <v>1</v>
      </c>
      <c r="P231" t="e">
        <f xml:space="preserve"> LOOKUP(A231,#REF!,#REF!)</f>
        <v>#REF!</v>
      </c>
    </row>
    <row r="232" spans="1:16" hidden="1" x14ac:dyDescent="0.25">
      <c r="A232" s="4">
        <v>10605</v>
      </c>
      <c r="B232" s="5" t="s">
        <v>55</v>
      </c>
      <c r="C232" s="5" t="s">
        <v>47</v>
      </c>
      <c r="D232" s="5" t="s">
        <v>54</v>
      </c>
      <c r="E232" s="6" t="s">
        <v>18</v>
      </c>
      <c r="F232" s="7">
        <v>12</v>
      </c>
      <c r="G232" s="7">
        <v>40</v>
      </c>
      <c r="H232" s="6" t="s">
        <v>19</v>
      </c>
      <c r="I232" s="6" t="s">
        <v>30</v>
      </c>
      <c r="J232" s="6" t="s">
        <v>31</v>
      </c>
      <c r="K232" s="6" t="s">
        <v>32</v>
      </c>
      <c r="L232" s="54" t="s">
        <v>23</v>
      </c>
      <c r="M232" s="54">
        <v>8</v>
      </c>
      <c r="N232" s="54" t="s">
        <v>24</v>
      </c>
      <c r="O232" s="54">
        <v>1</v>
      </c>
      <c r="P232" t="e">
        <f xml:space="preserve"> LOOKUP(A232,#REF!,#REF!)</f>
        <v>#REF!</v>
      </c>
    </row>
    <row r="233" spans="1:16" hidden="1" x14ac:dyDescent="0.25">
      <c r="A233" s="4" t="s">
        <v>86</v>
      </c>
      <c r="B233" s="5" t="s">
        <v>87</v>
      </c>
      <c r="C233" s="6" t="s">
        <v>82</v>
      </c>
      <c r="D233" s="5" t="s">
        <v>83</v>
      </c>
      <c r="E233" s="6" t="s">
        <v>18</v>
      </c>
      <c r="F233" s="9">
        <v>24</v>
      </c>
      <c r="G233" s="9">
        <v>78</v>
      </c>
      <c r="H233" s="6" t="s">
        <v>27</v>
      </c>
      <c r="I233" s="6" t="s">
        <v>20</v>
      </c>
      <c r="J233" s="6" t="s">
        <v>28</v>
      </c>
      <c r="K233" s="6" t="s">
        <v>88</v>
      </c>
      <c r="L233" s="54" t="s">
        <v>23</v>
      </c>
      <c r="M233" s="54">
        <v>75.5</v>
      </c>
      <c r="N233" s="54" t="s">
        <v>24</v>
      </c>
      <c r="O233" s="54">
        <v>1</v>
      </c>
      <c r="P233" t="e">
        <f xml:space="preserve"> LOOKUP(A233,#REF!,#REF!)</f>
        <v>#REF!</v>
      </c>
    </row>
    <row r="234" spans="1:16" hidden="1" x14ac:dyDescent="0.25">
      <c r="A234" s="4" t="s">
        <v>86</v>
      </c>
      <c r="B234" s="5" t="s">
        <v>87</v>
      </c>
      <c r="C234" s="6" t="s">
        <v>82</v>
      </c>
      <c r="D234" s="5" t="s">
        <v>83</v>
      </c>
      <c r="E234" s="6" t="s">
        <v>18</v>
      </c>
      <c r="F234" s="9">
        <v>24</v>
      </c>
      <c r="G234" s="9">
        <v>78</v>
      </c>
      <c r="H234" s="6" t="s">
        <v>19</v>
      </c>
      <c r="I234" s="6" t="s">
        <v>25</v>
      </c>
      <c r="J234" s="6" t="s">
        <v>25</v>
      </c>
      <c r="K234" s="6" t="s">
        <v>26</v>
      </c>
      <c r="L234" s="54" t="s">
        <v>23</v>
      </c>
      <c r="M234" s="54">
        <v>47.6</v>
      </c>
      <c r="N234" s="54" t="s">
        <v>24</v>
      </c>
      <c r="O234" s="54">
        <v>1</v>
      </c>
      <c r="P234" t="e">
        <f xml:space="preserve"> LOOKUP(A234,#REF!,#REF!)</f>
        <v>#REF!</v>
      </c>
    </row>
    <row r="235" spans="1:16" hidden="1" x14ac:dyDescent="0.25">
      <c r="A235" s="4" t="s">
        <v>86</v>
      </c>
      <c r="B235" s="5" t="s">
        <v>87</v>
      </c>
      <c r="C235" s="6" t="s">
        <v>82</v>
      </c>
      <c r="D235" s="5" t="s">
        <v>83</v>
      </c>
      <c r="E235" s="6" t="s">
        <v>18</v>
      </c>
      <c r="F235" s="9">
        <v>24</v>
      </c>
      <c r="G235" s="9">
        <v>78</v>
      </c>
      <c r="H235" s="6" t="s">
        <v>27</v>
      </c>
      <c r="I235" s="6" t="s">
        <v>30</v>
      </c>
      <c r="J235" s="6" t="s">
        <v>31</v>
      </c>
      <c r="K235" s="6" t="s">
        <v>32</v>
      </c>
      <c r="L235" s="54" t="s">
        <v>23</v>
      </c>
      <c r="M235" s="54">
        <v>29.35</v>
      </c>
      <c r="N235" s="54" t="s">
        <v>24</v>
      </c>
      <c r="O235" s="54">
        <v>1</v>
      </c>
      <c r="P235" t="e">
        <f xml:space="preserve"> LOOKUP(A235,#REF!,#REF!)</f>
        <v>#REF!</v>
      </c>
    </row>
    <row r="236" spans="1:16" hidden="1" x14ac:dyDescent="0.25">
      <c r="A236" s="4" t="s">
        <v>86</v>
      </c>
      <c r="B236" s="5" t="s">
        <v>87</v>
      </c>
      <c r="C236" s="6" t="s">
        <v>82</v>
      </c>
      <c r="D236" s="5" t="s">
        <v>83</v>
      </c>
      <c r="E236" s="6" t="s">
        <v>18</v>
      </c>
      <c r="F236" s="9">
        <v>24</v>
      </c>
      <c r="G236" s="9">
        <v>78</v>
      </c>
      <c r="H236" s="6" t="s">
        <v>19</v>
      </c>
      <c r="I236" s="6" t="s">
        <v>20</v>
      </c>
      <c r="J236" s="6" t="s">
        <v>21</v>
      </c>
      <c r="K236" s="6" t="s">
        <v>22</v>
      </c>
      <c r="L236" s="54" t="s">
        <v>23</v>
      </c>
      <c r="M236" s="54">
        <v>2.8</v>
      </c>
      <c r="N236" s="54" t="s">
        <v>24</v>
      </c>
      <c r="O236" s="54">
        <v>1</v>
      </c>
      <c r="P236" t="e">
        <f xml:space="preserve"> LOOKUP(A236,#REF!,#REF!)</f>
        <v>#REF!</v>
      </c>
    </row>
  </sheetData>
  <autoFilter ref="A1:O236" xr:uid="{F42C9342-FE40-40FB-8C8B-9D8F8B797216}">
    <filterColumn colId="9">
      <filters>
        <filter val="HDPE - High-Density PolyEthylene"/>
      </filters>
    </filterColumn>
    <sortState xmlns:xlrd2="http://schemas.microsoft.com/office/spreadsheetml/2017/richdata2" ref="A2:O236">
      <sortCondition ref="A1:A2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0476-0723-4689-BE73-8F33968AAC12}">
  <dimension ref="A3:N61"/>
  <sheetViews>
    <sheetView workbookViewId="0">
      <selection activeCell="I37" sqref="I37"/>
    </sheetView>
  </sheetViews>
  <sheetFormatPr defaultRowHeight="15" x14ac:dyDescent="0.25"/>
  <cols>
    <col min="1" max="1" width="28.7109375" bestFit="1" customWidth="1"/>
    <col min="2" max="2" width="18.5703125" bestFit="1" customWidth="1"/>
    <col min="4" max="4" width="28.7109375" bestFit="1" customWidth="1"/>
    <col min="5" max="5" width="18" bestFit="1" customWidth="1"/>
    <col min="6" max="6" width="21.5703125" bestFit="1" customWidth="1"/>
    <col min="7" max="7" width="18.85546875" customWidth="1"/>
    <col min="8" max="8" width="19.85546875" customWidth="1"/>
  </cols>
  <sheetData>
    <row r="3" spans="1:5" x14ac:dyDescent="0.25">
      <c r="A3" s="11" t="s">
        <v>172</v>
      </c>
      <c r="B3" t="s">
        <v>174</v>
      </c>
      <c r="D3" s="13" t="s">
        <v>175</v>
      </c>
      <c r="E3" s="13" t="s">
        <v>167</v>
      </c>
    </row>
    <row r="4" spans="1:5" x14ac:dyDescent="0.25">
      <c r="A4" s="12" t="s">
        <v>63</v>
      </c>
      <c r="B4">
        <v>2</v>
      </c>
      <c r="D4" t="s">
        <v>104</v>
      </c>
      <c r="E4">
        <v>68</v>
      </c>
    </row>
    <row r="5" spans="1:5" x14ac:dyDescent="0.25">
      <c r="A5" s="12" t="s">
        <v>104</v>
      </c>
      <c r="B5">
        <v>68</v>
      </c>
      <c r="D5" t="s">
        <v>37</v>
      </c>
      <c r="E5">
        <v>52</v>
      </c>
    </row>
    <row r="6" spans="1:5" x14ac:dyDescent="0.25">
      <c r="A6" s="12" t="s">
        <v>17</v>
      </c>
      <c r="B6">
        <v>30</v>
      </c>
      <c r="D6" t="s">
        <v>17</v>
      </c>
      <c r="E6">
        <v>30</v>
      </c>
    </row>
    <row r="7" spans="1:5" x14ac:dyDescent="0.25">
      <c r="A7" s="12" t="s">
        <v>158</v>
      </c>
      <c r="B7">
        <v>12</v>
      </c>
      <c r="D7" t="s">
        <v>67</v>
      </c>
      <c r="E7">
        <v>15</v>
      </c>
    </row>
    <row r="8" spans="1:5" x14ac:dyDescent="0.25">
      <c r="A8" s="12" t="s">
        <v>83</v>
      </c>
      <c r="B8">
        <v>9</v>
      </c>
      <c r="D8" t="s">
        <v>158</v>
      </c>
      <c r="E8">
        <v>12</v>
      </c>
    </row>
    <row r="9" spans="1:5" x14ac:dyDescent="0.25">
      <c r="A9" s="12" t="s">
        <v>67</v>
      </c>
      <c r="B9">
        <v>15</v>
      </c>
      <c r="D9" t="s">
        <v>91</v>
      </c>
      <c r="E9">
        <v>12</v>
      </c>
    </row>
    <row r="10" spans="1:5" x14ac:dyDescent="0.25">
      <c r="A10" s="12" t="s">
        <v>137</v>
      </c>
      <c r="B10">
        <v>2</v>
      </c>
      <c r="D10" t="s">
        <v>83</v>
      </c>
      <c r="E10">
        <v>9</v>
      </c>
    </row>
    <row r="11" spans="1:5" x14ac:dyDescent="0.25">
      <c r="A11" s="12" t="s">
        <v>124</v>
      </c>
      <c r="B11">
        <v>4</v>
      </c>
      <c r="D11" t="s">
        <v>58</v>
      </c>
      <c r="E11">
        <v>9</v>
      </c>
    </row>
    <row r="12" spans="1:5" x14ac:dyDescent="0.25">
      <c r="A12" s="12" t="s">
        <v>58</v>
      </c>
      <c r="B12">
        <v>9</v>
      </c>
      <c r="D12" t="s">
        <v>48</v>
      </c>
      <c r="E12">
        <v>7</v>
      </c>
    </row>
    <row r="13" spans="1:5" x14ac:dyDescent="0.25">
      <c r="A13" s="12" t="s">
        <v>52</v>
      </c>
      <c r="B13">
        <v>1</v>
      </c>
      <c r="D13" t="s">
        <v>54</v>
      </c>
      <c r="E13">
        <v>6</v>
      </c>
    </row>
    <row r="14" spans="1:5" x14ac:dyDescent="0.25">
      <c r="A14" s="12" t="s">
        <v>54</v>
      </c>
      <c r="B14">
        <v>6</v>
      </c>
      <c r="D14" t="s">
        <v>118</v>
      </c>
      <c r="E14">
        <v>6</v>
      </c>
    </row>
    <row r="15" spans="1:5" x14ac:dyDescent="0.25">
      <c r="A15" s="12" t="s">
        <v>91</v>
      </c>
      <c r="B15">
        <v>12</v>
      </c>
      <c r="D15" t="s">
        <v>124</v>
      </c>
      <c r="E15">
        <v>4</v>
      </c>
    </row>
    <row r="16" spans="1:5" x14ac:dyDescent="0.25">
      <c r="A16" s="12" t="s">
        <v>37</v>
      </c>
      <c r="B16">
        <v>52</v>
      </c>
      <c r="D16" t="s">
        <v>63</v>
      </c>
      <c r="E16">
        <v>2</v>
      </c>
    </row>
    <row r="17" spans="1:9" x14ac:dyDescent="0.25">
      <c r="A17" s="12" t="s">
        <v>48</v>
      </c>
      <c r="B17">
        <v>7</v>
      </c>
      <c r="D17" t="s">
        <v>137</v>
      </c>
      <c r="E17">
        <v>2</v>
      </c>
    </row>
    <row r="18" spans="1:9" x14ac:dyDescent="0.25">
      <c r="A18" s="12" t="s">
        <v>118</v>
      </c>
      <c r="B18">
        <v>6</v>
      </c>
      <c r="D18" t="s">
        <v>52</v>
      </c>
      <c r="E18">
        <v>1</v>
      </c>
    </row>
    <row r="19" spans="1:9" ht="15.75" thickBot="1" x14ac:dyDescent="0.3">
      <c r="A19" s="12" t="s">
        <v>173</v>
      </c>
      <c r="B19">
        <v>235</v>
      </c>
    </row>
    <row r="20" spans="1:9" x14ac:dyDescent="0.25">
      <c r="D20" s="43" t="s">
        <v>175</v>
      </c>
      <c r="E20" s="44" t="s">
        <v>176</v>
      </c>
      <c r="F20" s="44" t="s">
        <v>396</v>
      </c>
      <c r="G20" s="44" t="s">
        <v>405</v>
      </c>
      <c r="H20" s="45" t="s">
        <v>424</v>
      </c>
    </row>
    <row r="21" spans="1:9" x14ac:dyDescent="0.25">
      <c r="C21" s="37"/>
      <c r="D21" s="26" t="s">
        <v>190</v>
      </c>
      <c r="E21" t="s">
        <v>404</v>
      </c>
      <c r="F21" t="s">
        <v>407</v>
      </c>
      <c r="G21" s="39" t="s">
        <v>23</v>
      </c>
      <c r="H21" s="40" t="s">
        <v>23</v>
      </c>
      <c r="I21" s="31" t="s">
        <v>409</v>
      </c>
    </row>
    <row r="22" spans="1:9" x14ac:dyDescent="0.25">
      <c r="C22" s="37"/>
      <c r="D22" s="26" t="s">
        <v>192</v>
      </c>
      <c r="E22" s="13"/>
      <c r="G22" s="39" t="s">
        <v>23</v>
      </c>
      <c r="H22" s="40" t="s">
        <v>23</v>
      </c>
      <c r="I22" s="31" t="s">
        <v>406</v>
      </c>
    </row>
    <row r="23" spans="1:9" x14ac:dyDescent="0.25">
      <c r="C23" s="48"/>
      <c r="D23" s="26" t="s">
        <v>63</v>
      </c>
      <c r="E23" t="s">
        <v>393</v>
      </c>
      <c r="F23" t="s">
        <v>394</v>
      </c>
      <c r="G23" s="41" t="s">
        <v>23</v>
      </c>
      <c r="H23" s="42" t="s">
        <v>408</v>
      </c>
      <c r="I23" t="s">
        <v>416</v>
      </c>
    </row>
    <row r="24" spans="1:9" x14ac:dyDescent="0.25">
      <c r="C24" s="48"/>
      <c r="D24" s="26" t="s">
        <v>104</v>
      </c>
      <c r="E24" t="s">
        <v>177</v>
      </c>
      <c r="F24" t="s">
        <v>182</v>
      </c>
      <c r="G24" s="41" t="s">
        <v>23</v>
      </c>
      <c r="H24" s="42" t="s">
        <v>408</v>
      </c>
    </row>
    <row r="25" spans="1:9" x14ac:dyDescent="0.25">
      <c r="C25" s="37"/>
      <c r="D25" s="26" t="s">
        <v>317</v>
      </c>
      <c r="E25" t="s">
        <v>410</v>
      </c>
      <c r="F25" t="s">
        <v>182</v>
      </c>
      <c r="G25" s="39" t="s">
        <v>23</v>
      </c>
      <c r="H25" s="40" t="s">
        <v>23</v>
      </c>
      <c r="I25" s="31" t="s">
        <v>411</v>
      </c>
    </row>
    <row r="26" spans="1:9" x14ac:dyDescent="0.25">
      <c r="C26" s="49"/>
      <c r="D26" s="26" t="s">
        <v>17</v>
      </c>
      <c r="E26" t="s">
        <v>179</v>
      </c>
      <c r="F26" t="s">
        <v>182</v>
      </c>
      <c r="G26" s="32" t="s">
        <v>408</v>
      </c>
      <c r="H26" s="33" t="s">
        <v>408</v>
      </c>
    </row>
    <row r="27" spans="1:9" x14ac:dyDescent="0.25">
      <c r="C27" s="49"/>
      <c r="D27" s="38" t="s">
        <v>158</v>
      </c>
      <c r="E27" t="s">
        <v>184</v>
      </c>
      <c r="F27" t="s">
        <v>182</v>
      </c>
      <c r="G27" s="32" t="s">
        <v>408</v>
      </c>
      <c r="H27" s="33" t="s">
        <v>408</v>
      </c>
    </row>
    <row r="28" spans="1:9" x14ac:dyDescent="0.25">
      <c r="C28" s="49"/>
      <c r="D28" s="26" t="s">
        <v>345</v>
      </c>
      <c r="E28" t="s">
        <v>412</v>
      </c>
      <c r="F28" t="s">
        <v>407</v>
      </c>
      <c r="G28" s="32" t="s">
        <v>408</v>
      </c>
      <c r="H28" s="33" t="s">
        <v>408</v>
      </c>
    </row>
    <row r="29" spans="1:9" x14ac:dyDescent="0.25">
      <c r="C29" s="48"/>
      <c r="D29" s="26" t="s">
        <v>83</v>
      </c>
      <c r="E29" t="s">
        <v>385</v>
      </c>
      <c r="F29" t="s">
        <v>386</v>
      </c>
      <c r="G29" s="41" t="s">
        <v>23</v>
      </c>
      <c r="H29" s="42" t="s">
        <v>408</v>
      </c>
      <c r="I29" s="31" t="s">
        <v>417</v>
      </c>
    </row>
    <row r="30" spans="1:9" x14ac:dyDescent="0.25">
      <c r="C30" s="48"/>
      <c r="D30" s="26" t="s">
        <v>240</v>
      </c>
      <c r="E30" t="s">
        <v>413</v>
      </c>
      <c r="F30" t="s">
        <v>407</v>
      </c>
      <c r="G30" s="41" t="s">
        <v>414</v>
      </c>
      <c r="H30" s="42" t="s">
        <v>408</v>
      </c>
      <c r="I30" s="31" t="s">
        <v>415</v>
      </c>
    </row>
    <row r="31" spans="1:9" x14ac:dyDescent="0.25">
      <c r="C31" s="48"/>
      <c r="D31" s="26" t="s">
        <v>67</v>
      </c>
      <c r="E31" t="s">
        <v>180</v>
      </c>
      <c r="F31" t="s">
        <v>181</v>
      </c>
      <c r="G31" s="41" t="s">
        <v>23</v>
      </c>
      <c r="H31" s="42" t="s">
        <v>408</v>
      </c>
      <c r="I31" s="31" t="s">
        <v>418</v>
      </c>
    </row>
    <row r="32" spans="1:9" x14ac:dyDescent="0.25">
      <c r="C32" s="49"/>
      <c r="D32" s="26" t="s">
        <v>137</v>
      </c>
      <c r="E32" t="s">
        <v>398</v>
      </c>
      <c r="F32" t="s">
        <v>395</v>
      </c>
      <c r="G32" s="32" t="s">
        <v>408</v>
      </c>
      <c r="H32" s="33" t="s">
        <v>408</v>
      </c>
    </row>
    <row r="33" spans="3:14" x14ac:dyDescent="0.25">
      <c r="C33" s="48"/>
      <c r="D33" s="27" t="s">
        <v>124</v>
      </c>
      <c r="E33" t="s">
        <v>420</v>
      </c>
      <c r="F33" t="s">
        <v>388</v>
      </c>
      <c r="G33" s="41" t="s">
        <v>23</v>
      </c>
      <c r="H33" s="42" t="s">
        <v>408</v>
      </c>
      <c r="I33" s="31" t="s">
        <v>419</v>
      </c>
    </row>
    <row r="34" spans="3:14" x14ac:dyDescent="0.25">
      <c r="C34" s="48"/>
      <c r="D34" s="27" t="s">
        <v>58</v>
      </c>
      <c r="E34" t="s">
        <v>387</v>
      </c>
      <c r="F34" t="s">
        <v>388</v>
      </c>
      <c r="G34" s="41" t="s">
        <v>23</v>
      </c>
      <c r="H34" s="42" t="s">
        <v>408</v>
      </c>
    </row>
    <row r="35" spans="3:14" x14ac:dyDescent="0.25">
      <c r="C35" s="48"/>
      <c r="D35" s="28" t="s">
        <v>52</v>
      </c>
      <c r="E35" t="s">
        <v>389</v>
      </c>
      <c r="F35" t="s">
        <v>390</v>
      </c>
      <c r="G35" s="41" t="s">
        <v>23</v>
      </c>
      <c r="H35" s="42" t="s">
        <v>408</v>
      </c>
      <c r="I35" s="31" t="s">
        <v>421</v>
      </c>
    </row>
    <row r="36" spans="3:14" x14ac:dyDescent="0.25">
      <c r="C36" s="48"/>
      <c r="D36" s="28" t="s">
        <v>54</v>
      </c>
      <c r="E36" t="s">
        <v>389</v>
      </c>
      <c r="F36" t="s">
        <v>390</v>
      </c>
      <c r="G36" s="41" t="s">
        <v>23</v>
      </c>
      <c r="H36" s="42" t="s">
        <v>408</v>
      </c>
    </row>
    <row r="37" spans="3:14" x14ac:dyDescent="0.25">
      <c r="C37" s="49"/>
      <c r="D37" s="38" t="s">
        <v>183</v>
      </c>
      <c r="E37" t="s">
        <v>185</v>
      </c>
      <c r="F37" t="s">
        <v>397</v>
      </c>
      <c r="G37" s="32" t="s">
        <v>408</v>
      </c>
      <c r="H37" s="33" t="s">
        <v>408</v>
      </c>
    </row>
    <row r="38" spans="3:14" x14ac:dyDescent="0.25">
      <c r="C38" s="48"/>
      <c r="D38" s="30" t="s">
        <v>91</v>
      </c>
      <c r="E38" s="32" t="s">
        <v>400</v>
      </c>
      <c r="F38" s="32" t="s">
        <v>182</v>
      </c>
      <c r="G38" s="41" t="s">
        <v>425</v>
      </c>
      <c r="H38" s="42" t="s">
        <v>408</v>
      </c>
      <c r="I38" s="31" t="s">
        <v>399</v>
      </c>
    </row>
    <row r="39" spans="3:14" x14ac:dyDescent="0.25">
      <c r="C39" s="37"/>
      <c r="D39" s="26" t="s">
        <v>37</v>
      </c>
      <c r="E39" t="s">
        <v>178</v>
      </c>
      <c r="F39" t="s">
        <v>182</v>
      </c>
      <c r="G39" s="39" t="s">
        <v>23</v>
      </c>
      <c r="H39" s="40" t="s">
        <v>23</v>
      </c>
      <c r="I39" s="31" t="s">
        <v>422</v>
      </c>
      <c r="N39" s="31" t="s">
        <v>423</v>
      </c>
    </row>
    <row r="40" spans="3:14" x14ac:dyDescent="0.25">
      <c r="C40" s="48"/>
      <c r="D40" s="28" t="s">
        <v>48</v>
      </c>
      <c r="E40" t="s">
        <v>389</v>
      </c>
      <c r="F40" t="s">
        <v>390</v>
      </c>
      <c r="G40" s="41" t="s">
        <v>23</v>
      </c>
      <c r="H40" s="42" t="s">
        <v>408</v>
      </c>
    </row>
    <row r="41" spans="3:14" ht="15.75" thickBot="1" x14ac:dyDescent="0.3">
      <c r="C41" s="48"/>
      <c r="D41" s="34" t="s">
        <v>118</v>
      </c>
      <c r="E41" s="29" t="s">
        <v>391</v>
      </c>
      <c r="F41" s="29" t="s">
        <v>392</v>
      </c>
      <c r="G41" s="46" t="s">
        <v>408</v>
      </c>
      <c r="H41" s="47" t="s">
        <v>408</v>
      </c>
    </row>
    <row r="44" spans="3:14" x14ac:dyDescent="0.25">
      <c r="C44" s="20"/>
      <c r="D44" s="20"/>
      <c r="E44" s="20"/>
      <c r="F44" s="20"/>
      <c r="G44" s="20"/>
    </row>
    <row r="45" spans="3:14" x14ac:dyDescent="0.25">
      <c r="C45" s="20"/>
      <c r="D45" s="20"/>
      <c r="E45" s="20"/>
      <c r="F45" s="20"/>
      <c r="G45" s="20"/>
    </row>
    <row r="46" spans="3:14" x14ac:dyDescent="0.25">
      <c r="C46" s="20"/>
      <c r="D46" s="20"/>
      <c r="E46" s="20"/>
      <c r="F46" s="20"/>
      <c r="G46" s="20"/>
    </row>
    <row r="47" spans="3:14" x14ac:dyDescent="0.25">
      <c r="C47" s="20"/>
      <c r="D47" s="20"/>
      <c r="E47" s="20"/>
      <c r="F47" s="20"/>
      <c r="G47" s="20"/>
    </row>
    <row r="48" spans="3:14" x14ac:dyDescent="0.25">
      <c r="C48" s="20"/>
      <c r="D48" s="20"/>
      <c r="E48" s="20"/>
      <c r="F48" s="20"/>
      <c r="G48" s="20"/>
    </row>
    <row r="49" spans="3:7" x14ac:dyDescent="0.25">
      <c r="C49" s="20"/>
      <c r="D49" s="20"/>
      <c r="E49" s="20"/>
      <c r="F49" s="20"/>
      <c r="G49" s="20"/>
    </row>
    <row r="50" spans="3:7" x14ac:dyDescent="0.25">
      <c r="C50" s="20"/>
      <c r="D50" s="20"/>
      <c r="E50" s="20"/>
      <c r="F50" s="20"/>
      <c r="G50" s="20"/>
    </row>
    <row r="51" spans="3:7" x14ac:dyDescent="0.25">
      <c r="C51" s="20"/>
      <c r="D51" s="20"/>
      <c r="E51" s="20"/>
      <c r="F51" s="20"/>
      <c r="G51" s="20"/>
    </row>
    <row r="52" spans="3:7" x14ac:dyDescent="0.25">
      <c r="C52" s="20"/>
      <c r="D52" s="20"/>
      <c r="E52" s="20"/>
      <c r="F52" s="20"/>
      <c r="G52" s="20"/>
    </row>
    <row r="53" spans="3:7" x14ac:dyDescent="0.25">
      <c r="C53" s="20"/>
      <c r="D53" s="20"/>
      <c r="E53" s="20"/>
      <c r="F53" s="20"/>
      <c r="G53" s="20"/>
    </row>
    <row r="54" spans="3:7" x14ac:dyDescent="0.25">
      <c r="C54" s="20"/>
      <c r="D54" s="20"/>
      <c r="E54" s="20"/>
      <c r="F54" s="20"/>
      <c r="G54" s="20"/>
    </row>
    <row r="55" spans="3:7" x14ac:dyDescent="0.25">
      <c r="C55" s="20"/>
      <c r="D55" s="20"/>
      <c r="E55" s="20"/>
      <c r="F55" s="20"/>
      <c r="G55" s="20"/>
    </row>
    <row r="56" spans="3:7" x14ac:dyDescent="0.25">
      <c r="C56" s="20"/>
      <c r="D56" s="20"/>
      <c r="E56" s="20"/>
      <c r="F56" s="20"/>
      <c r="G56" s="20"/>
    </row>
    <row r="57" spans="3:7" x14ac:dyDescent="0.25">
      <c r="C57" s="20"/>
      <c r="D57" s="20"/>
      <c r="E57" s="20"/>
      <c r="F57" s="20"/>
      <c r="G57" s="20"/>
    </row>
    <row r="58" spans="3:7" x14ac:dyDescent="0.25">
      <c r="C58" s="20"/>
      <c r="D58" s="20"/>
      <c r="E58" s="20"/>
      <c r="F58" s="20"/>
      <c r="G58" s="20"/>
    </row>
    <row r="59" spans="3:7" x14ac:dyDescent="0.25">
      <c r="C59" s="20"/>
      <c r="D59" s="20"/>
      <c r="E59" s="20"/>
      <c r="F59" s="20"/>
      <c r="G59" s="20"/>
    </row>
    <row r="60" spans="3:7" x14ac:dyDescent="0.25">
      <c r="C60" s="20"/>
      <c r="D60" s="20"/>
      <c r="E60" s="20"/>
      <c r="F60" s="20"/>
      <c r="G60" s="20"/>
    </row>
    <row r="61" spans="3:7" x14ac:dyDescent="0.25">
      <c r="C61" s="20"/>
      <c r="D61" s="20"/>
      <c r="E61" s="20"/>
      <c r="F61" s="20"/>
      <c r="G61" s="20"/>
    </row>
  </sheetData>
  <sortState xmlns:xlrd2="http://schemas.microsoft.com/office/spreadsheetml/2017/richdata2" ref="D21:H41">
    <sortCondition ref="D23:D41"/>
  </sortState>
  <hyperlinks>
    <hyperlink ref="I38" r:id="rId2" display="https://www.tandr.ie/" xr:uid="{2C01AD7A-54D0-405E-89A0-272B0FF8B813}"/>
    <hyperlink ref="I22" r:id="rId3" display="https://corporate.bic.com/en-US/commitments/sustainability" xr:uid="{3A3D71D4-5B91-49AC-8C2D-026BDA5A4A56}"/>
    <hyperlink ref="I21" r:id="rId4" display="https://barrygroup.ie/reports-and-publications/" xr:uid="{23152B2C-6165-43D9-8174-06D8FD537776}"/>
    <hyperlink ref="I25" r:id="rId5" display="https://www.essity.com/sustainability/" xr:uid="{F5DFF2F5-F463-40F6-8754-65B430368ED3}"/>
    <hyperlink ref="I30" r:id="rId6" display="https://rspo.org/as-an-organisation/certification/" xr:uid="{33AB2CAB-9A60-4F7A-98BA-09E936B6561C}"/>
    <hyperlink ref="I29" r:id="rId7" display="https://irishdogfoods.com/sustainability/" xr:uid="{78B9E9F2-5439-4ABB-8399-396CF7003D81}"/>
    <hyperlink ref="I31" r:id="rId8" display="https://www.mulrines.ie/carbon-reduction/" xr:uid="{4FD70903-F221-474E-B350-773BE547DEBA}"/>
    <hyperlink ref="I33" r:id="rId9" display="https://shabra.com/sustainability/" xr:uid="{75C0D002-59AB-4155-AB79-9740E5183440}"/>
    <hyperlink ref="I35" r:id="rId10" display="https://zipfires.ie/sustainability" xr:uid="{5A5C0F78-83C8-4B10-97C2-A155C236339E}"/>
    <hyperlink ref="I39" r:id="rId11" display="https://www.valeofoodsgroup.com/sustainability/our-vision" xr:uid="{4E8A83AA-A128-4647-BF29-B70191E99C81}"/>
    <hyperlink ref="N39" r:id="rId12" display="https://www.valeofoodsgroup.com/Valeo/media/ValeoSetupImages/pdfs/Valeo-Foods-2025-Sustainability-Report-Singles.pdf" xr:uid="{F30DAAE2-E7E6-4279-89C4-5F86434BDFD5}"/>
  </hyperlinks>
  <pageMargins left="0.7" right="0.7" top="0.75" bottom="0.75" header="0.3" footer="0.3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5B40-FBB3-40F1-B1B7-66EC778EB6F6}">
  <dimension ref="A3:G20"/>
  <sheetViews>
    <sheetView workbookViewId="0">
      <selection activeCell="E30" sqref="E30"/>
    </sheetView>
  </sheetViews>
  <sheetFormatPr defaultRowHeight="15" x14ac:dyDescent="0.25"/>
  <cols>
    <col min="1" max="1" width="35.28515625" bestFit="1" customWidth="1"/>
    <col min="2" max="2" width="24.28515625" bestFit="1" customWidth="1"/>
    <col min="3" max="3" width="16.42578125" bestFit="1" customWidth="1"/>
    <col min="4" max="4" width="16.28515625" bestFit="1" customWidth="1"/>
    <col min="5" max="5" width="16.85546875" bestFit="1" customWidth="1"/>
    <col min="6" max="6" width="31.5703125" bestFit="1" customWidth="1"/>
    <col min="7" max="7" width="30.7109375" bestFit="1" customWidth="1"/>
    <col min="8" max="8" width="6.140625" bestFit="1" customWidth="1"/>
    <col min="9" max="9" width="31.140625" bestFit="1" customWidth="1"/>
    <col min="10" max="10" width="18.140625" bestFit="1" customWidth="1"/>
    <col min="11" max="11" width="5.5703125" bestFit="1" customWidth="1"/>
    <col min="12" max="12" width="6.42578125" bestFit="1" customWidth="1"/>
    <col min="13" max="13" width="11.28515625" bestFit="1" customWidth="1"/>
  </cols>
  <sheetData>
    <row r="3" spans="1:7" x14ac:dyDescent="0.25">
      <c r="A3" s="11" t="s">
        <v>172</v>
      </c>
      <c r="B3" t="s">
        <v>427</v>
      </c>
      <c r="D3" s="13" t="s">
        <v>435</v>
      </c>
      <c r="E3" s="13" t="s">
        <v>436</v>
      </c>
      <c r="F3" s="13" t="s">
        <v>9</v>
      </c>
      <c r="G3" s="13" t="s">
        <v>437</v>
      </c>
    </row>
    <row r="4" spans="1:7" x14ac:dyDescent="0.25">
      <c r="A4" s="12" t="s">
        <v>68</v>
      </c>
      <c r="B4">
        <v>9</v>
      </c>
      <c r="D4" t="s">
        <v>20</v>
      </c>
      <c r="E4">
        <v>115</v>
      </c>
      <c r="F4" t="s">
        <v>28</v>
      </c>
      <c r="G4">
        <v>87</v>
      </c>
    </row>
    <row r="5" spans="1:7" x14ac:dyDescent="0.25">
      <c r="A5" s="35" t="s">
        <v>72</v>
      </c>
      <c r="B5">
        <v>3</v>
      </c>
      <c r="F5" t="s">
        <v>21</v>
      </c>
      <c r="G5">
        <v>28</v>
      </c>
    </row>
    <row r="6" spans="1:7" x14ac:dyDescent="0.25">
      <c r="A6" s="35" t="s">
        <v>69</v>
      </c>
      <c r="B6">
        <v>3</v>
      </c>
      <c r="D6" t="s">
        <v>30</v>
      </c>
      <c r="E6">
        <v>90</v>
      </c>
      <c r="F6" t="s">
        <v>73</v>
      </c>
      <c r="G6">
        <v>6</v>
      </c>
    </row>
    <row r="7" spans="1:7" x14ac:dyDescent="0.25">
      <c r="A7" s="35" t="s">
        <v>71</v>
      </c>
      <c r="B7">
        <v>3</v>
      </c>
      <c r="F7" t="s">
        <v>31</v>
      </c>
      <c r="G7">
        <v>67</v>
      </c>
    </row>
    <row r="8" spans="1:7" x14ac:dyDescent="0.25">
      <c r="A8" s="12" t="s">
        <v>20</v>
      </c>
      <c r="B8">
        <v>115</v>
      </c>
      <c r="F8" t="s">
        <v>138</v>
      </c>
      <c r="G8">
        <v>3</v>
      </c>
    </row>
    <row r="9" spans="1:7" x14ac:dyDescent="0.25">
      <c r="A9" s="35" t="s">
        <v>28</v>
      </c>
      <c r="B9">
        <v>87</v>
      </c>
      <c r="F9" t="s">
        <v>106</v>
      </c>
      <c r="G9">
        <v>14</v>
      </c>
    </row>
    <row r="10" spans="1:7" x14ac:dyDescent="0.25">
      <c r="A10" s="35" t="s">
        <v>21</v>
      </c>
      <c r="B10">
        <v>28</v>
      </c>
      <c r="D10" t="s">
        <v>121</v>
      </c>
      <c r="E10">
        <v>12</v>
      </c>
      <c r="F10" t="s">
        <v>121</v>
      </c>
      <c r="G10">
        <v>12</v>
      </c>
    </row>
    <row r="11" spans="1:7" x14ac:dyDescent="0.25">
      <c r="A11" s="12" t="s">
        <v>30</v>
      </c>
      <c r="B11">
        <v>90</v>
      </c>
      <c r="D11" t="s">
        <v>68</v>
      </c>
      <c r="E11">
        <v>9</v>
      </c>
      <c r="F11" t="s">
        <v>72</v>
      </c>
      <c r="G11">
        <v>3</v>
      </c>
    </row>
    <row r="12" spans="1:7" x14ac:dyDescent="0.25">
      <c r="A12" s="35" t="s">
        <v>73</v>
      </c>
      <c r="B12">
        <v>6</v>
      </c>
      <c r="F12" t="s">
        <v>69</v>
      </c>
      <c r="G12">
        <v>3</v>
      </c>
    </row>
    <row r="13" spans="1:7" x14ac:dyDescent="0.25">
      <c r="A13" s="35" t="s">
        <v>31</v>
      </c>
      <c r="B13">
        <v>67</v>
      </c>
      <c r="F13" t="s">
        <v>71</v>
      </c>
      <c r="G13">
        <v>3</v>
      </c>
    </row>
    <row r="14" spans="1:7" x14ac:dyDescent="0.25">
      <c r="A14" s="35" t="s">
        <v>138</v>
      </c>
      <c r="B14">
        <v>3</v>
      </c>
      <c r="D14" t="s">
        <v>25</v>
      </c>
      <c r="E14">
        <v>9</v>
      </c>
      <c r="F14" t="s">
        <v>25</v>
      </c>
      <c r="G14">
        <v>9</v>
      </c>
    </row>
    <row r="15" spans="1:7" x14ac:dyDescent="0.25">
      <c r="A15" s="35" t="s">
        <v>106</v>
      </c>
      <c r="B15">
        <v>14</v>
      </c>
    </row>
    <row r="16" spans="1:7" x14ac:dyDescent="0.25">
      <c r="A16" s="12" t="s">
        <v>25</v>
      </c>
      <c r="B16">
        <v>9</v>
      </c>
    </row>
    <row r="17" spans="1:2" x14ac:dyDescent="0.25">
      <c r="A17" s="35" t="s">
        <v>25</v>
      </c>
      <c r="B17">
        <v>9</v>
      </c>
    </row>
    <row r="18" spans="1:2" x14ac:dyDescent="0.25">
      <c r="A18" s="12" t="s">
        <v>121</v>
      </c>
      <c r="B18">
        <v>12</v>
      </c>
    </row>
    <row r="19" spans="1:2" x14ac:dyDescent="0.25">
      <c r="A19" s="35" t="s">
        <v>121</v>
      </c>
      <c r="B19">
        <v>12</v>
      </c>
    </row>
    <row r="20" spans="1:2" x14ac:dyDescent="0.25">
      <c r="A20" s="12" t="s">
        <v>173</v>
      </c>
      <c r="B20">
        <v>235</v>
      </c>
    </row>
  </sheetData>
  <sortState xmlns:xlrd2="http://schemas.microsoft.com/office/spreadsheetml/2017/richdata2" ref="A14:M18">
    <sortCondition descending="1" ref="M14:M1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2866-BDF8-422D-A165-81D4B21533A7}">
  <dimension ref="A3:R18"/>
  <sheetViews>
    <sheetView workbookViewId="0">
      <selection activeCell="P16" sqref="P16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6.42578125" bestFit="1" customWidth="1"/>
    <col min="4" max="6" width="4.28515625" bestFit="1" customWidth="1"/>
    <col min="7" max="7" width="5.140625" bestFit="1" customWidth="1"/>
    <col min="8" max="8" width="4.42578125" bestFit="1" customWidth="1"/>
    <col min="9" max="9" width="5.7109375" bestFit="1" customWidth="1"/>
    <col min="10" max="10" width="3.5703125" bestFit="1" customWidth="1"/>
    <col min="11" max="11" width="7" bestFit="1" customWidth="1"/>
    <col min="12" max="12" width="6.85546875" bestFit="1" customWidth="1"/>
    <col min="13" max="13" width="8.7109375" bestFit="1" customWidth="1"/>
    <col min="14" max="14" width="4.7109375" bestFit="1" customWidth="1"/>
    <col min="15" max="15" width="4.28515625" bestFit="1" customWidth="1"/>
    <col min="16" max="16" width="5.85546875" bestFit="1" customWidth="1"/>
    <col min="17" max="17" width="7.28515625" bestFit="1" customWidth="1"/>
    <col min="18" max="18" width="11.28515625" bestFit="1" customWidth="1"/>
  </cols>
  <sheetData>
    <row r="3" spans="1:18" ht="15.75" thickBot="1" x14ac:dyDescent="0.3">
      <c r="A3" s="11" t="s">
        <v>434</v>
      </c>
      <c r="B3" s="11" t="s">
        <v>428</v>
      </c>
    </row>
    <row r="4" spans="1:18" ht="15.75" thickBot="1" x14ac:dyDescent="0.3">
      <c r="A4" s="11" t="s">
        <v>172</v>
      </c>
      <c r="B4" t="s">
        <v>43</v>
      </c>
      <c r="C4" t="s">
        <v>141</v>
      </c>
      <c r="D4" t="s">
        <v>29</v>
      </c>
      <c r="E4" t="s">
        <v>26</v>
      </c>
      <c r="F4" t="s">
        <v>74</v>
      </c>
      <c r="G4" t="s">
        <v>61</v>
      </c>
      <c r="H4" t="s">
        <v>107</v>
      </c>
      <c r="I4" t="s">
        <v>22</v>
      </c>
      <c r="J4" t="s">
        <v>109</v>
      </c>
      <c r="K4" t="s">
        <v>122</v>
      </c>
      <c r="L4" t="s">
        <v>159</v>
      </c>
      <c r="M4" t="s">
        <v>70</v>
      </c>
      <c r="N4" t="s">
        <v>88</v>
      </c>
      <c r="O4" t="s">
        <v>147</v>
      </c>
      <c r="P4" t="s">
        <v>32</v>
      </c>
      <c r="Q4" t="s">
        <v>401</v>
      </c>
      <c r="R4" t="s">
        <v>173</v>
      </c>
    </row>
    <row r="5" spans="1:18" x14ac:dyDescent="0.25">
      <c r="A5" s="12" t="s">
        <v>19</v>
      </c>
      <c r="B5" s="56">
        <v>14</v>
      </c>
      <c r="C5" s="56">
        <v>2</v>
      </c>
      <c r="D5" s="56">
        <v>22</v>
      </c>
      <c r="E5" s="56">
        <v>9</v>
      </c>
      <c r="F5" s="56">
        <v>3</v>
      </c>
      <c r="G5" s="56">
        <v>7</v>
      </c>
      <c r="H5" s="56"/>
      <c r="I5" s="56">
        <v>11</v>
      </c>
      <c r="J5" s="56"/>
      <c r="K5" s="56"/>
      <c r="L5" s="56">
        <v>6</v>
      </c>
      <c r="M5" s="56">
        <v>9</v>
      </c>
      <c r="N5" s="56"/>
      <c r="O5" s="56">
        <v>5</v>
      </c>
      <c r="P5" s="56">
        <v>20</v>
      </c>
      <c r="Q5" s="56"/>
      <c r="R5" s="56">
        <v>108</v>
      </c>
    </row>
    <row r="6" spans="1:18" x14ac:dyDescent="0.25">
      <c r="A6" s="35" t="s">
        <v>68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>
        <v>9</v>
      </c>
      <c r="N6" s="56"/>
      <c r="O6" s="56"/>
      <c r="P6" s="56"/>
      <c r="Q6" s="56"/>
      <c r="R6" s="56">
        <v>9</v>
      </c>
    </row>
    <row r="7" spans="1:18" x14ac:dyDescent="0.25">
      <c r="A7" s="35" t="s">
        <v>20</v>
      </c>
      <c r="B7" s="56">
        <v>9</v>
      </c>
      <c r="C7" s="56"/>
      <c r="D7" s="56">
        <v>22</v>
      </c>
      <c r="E7" s="56"/>
      <c r="F7" s="56"/>
      <c r="G7" s="56">
        <v>7</v>
      </c>
      <c r="H7" s="56"/>
      <c r="I7" s="56">
        <v>11</v>
      </c>
      <c r="J7" s="56"/>
      <c r="K7" s="56"/>
      <c r="L7" s="56">
        <v>6</v>
      </c>
      <c r="M7" s="56"/>
      <c r="N7" s="56"/>
      <c r="O7" s="56"/>
      <c r="P7" s="56"/>
      <c r="Q7" s="56"/>
      <c r="R7" s="56">
        <v>55</v>
      </c>
    </row>
    <row r="8" spans="1:18" x14ac:dyDescent="0.25">
      <c r="A8" s="35" t="s">
        <v>30</v>
      </c>
      <c r="B8" s="56">
        <v>5</v>
      </c>
      <c r="C8" s="56">
        <v>2</v>
      </c>
      <c r="D8" s="56"/>
      <c r="E8" s="56"/>
      <c r="F8" s="56">
        <v>3</v>
      </c>
      <c r="G8" s="56"/>
      <c r="H8" s="56"/>
      <c r="I8" s="56"/>
      <c r="J8" s="56"/>
      <c r="K8" s="56"/>
      <c r="L8" s="56"/>
      <c r="M8" s="56"/>
      <c r="N8" s="56"/>
      <c r="O8" s="56">
        <v>5</v>
      </c>
      <c r="P8" s="56">
        <v>20</v>
      </c>
      <c r="Q8" s="56"/>
      <c r="R8" s="56">
        <v>35</v>
      </c>
    </row>
    <row r="9" spans="1:18" x14ac:dyDescent="0.25">
      <c r="A9" s="35" t="s">
        <v>25</v>
      </c>
      <c r="B9" s="56"/>
      <c r="C9" s="56"/>
      <c r="D9" s="56"/>
      <c r="E9" s="56">
        <v>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>
        <v>9</v>
      </c>
    </row>
    <row r="10" spans="1:18" x14ac:dyDescent="0.25">
      <c r="A10" s="12" t="s">
        <v>105</v>
      </c>
      <c r="B10" s="56"/>
      <c r="C10" s="56"/>
      <c r="D10" s="56"/>
      <c r="E10" s="56"/>
      <c r="F10" s="56"/>
      <c r="G10" s="56"/>
      <c r="H10" s="56">
        <v>4</v>
      </c>
      <c r="I10" s="56"/>
      <c r="J10" s="56">
        <v>4</v>
      </c>
      <c r="K10" s="56"/>
      <c r="L10" s="56"/>
      <c r="M10" s="56"/>
      <c r="N10" s="56"/>
      <c r="O10" s="56"/>
      <c r="P10" s="56"/>
      <c r="Q10" s="56"/>
      <c r="R10" s="56">
        <v>8</v>
      </c>
    </row>
    <row r="11" spans="1:18" x14ac:dyDescent="0.25">
      <c r="A11" s="35" t="s">
        <v>30</v>
      </c>
      <c r="B11" s="56"/>
      <c r="C11" s="56"/>
      <c r="D11" s="56"/>
      <c r="E11" s="56"/>
      <c r="F11" s="56"/>
      <c r="G11" s="56"/>
      <c r="H11" s="56">
        <v>4</v>
      </c>
      <c r="I11" s="56"/>
      <c r="J11" s="56">
        <v>4</v>
      </c>
      <c r="K11" s="56"/>
      <c r="L11" s="56"/>
      <c r="M11" s="56"/>
      <c r="N11" s="56"/>
      <c r="O11" s="56"/>
      <c r="P11" s="56"/>
      <c r="Q11" s="56"/>
      <c r="R11" s="56">
        <v>8</v>
      </c>
    </row>
    <row r="12" spans="1:18" x14ac:dyDescent="0.25">
      <c r="A12" s="12" t="s">
        <v>27</v>
      </c>
      <c r="B12" s="56"/>
      <c r="C12" s="56"/>
      <c r="D12" s="56">
        <v>59</v>
      </c>
      <c r="E12" s="56"/>
      <c r="F12" s="56"/>
      <c r="G12" s="56"/>
      <c r="H12" s="56"/>
      <c r="I12" s="56"/>
      <c r="J12" s="56"/>
      <c r="K12" s="56"/>
      <c r="L12" s="56"/>
      <c r="M12" s="56"/>
      <c r="N12" s="56">
        <v>1</v>
      </c>
      <c r="O12" s="56"/>
      <c r="P12" s="56">
        <v>19</v>
      </c>
      <c r="Q12" s="56"/>
      <c r="R12" s="56">
        <v>79</v>
      </c>
    </row>
    <row r="13" spans="1:18" x14ac:dyDescent="0.25">
      <c r="A13" s="35" t="s">
        <v>20</v>
      </c>
      <c r="B13" s="56"/>
      <c r="C13" s="56"/>
      <c r="D13" s="56">
        <v>59</v>
      </c>
      <c r="E13" s="56"/>
      <c r="F13" s="56"/>
      <c r="G13" s="56"/>
      <c r="H13" s="56"/>
      <c r="I13" s="56"/>
      <c r="J13" s="56"/>
      <c r="K13" s="56"/>
      <c r="L13" s="56"/>
      <c r="M13" s="56"/>
      <c r="N13" s="56">
        <v>1</v>
      </c>
      <c r="O13" s="56"/>
      <c r="P13" s="56"/>
      <c r="Q13" s="56"/>
      <c r="R13" s="56">
        <v>60</v>
      </c>
    </row>
    <row r="14" spans="1:18" x14ac:dyDescent="0.25">
      <c r="A14" s="35" t="s">
        <v>30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>
        <v>19</v>
      </c>
      <c r="Q14" s="56"/>
      <c r="R14" s="56">
        <v>19</v>
      </c>
    </row>
    <row r="15" spans="1:18" x14ac:dyDescent="0.25">
      <c r="A15" s="12" t="s">
        <v>38</v>
      </c>
      <c r="B15" s="56">
        <v>3</v>
      </c>
      <c r="C15" s="56"/>
      <c r="D15" s="56"/>
      <c r="E15" s="56"/>
      <c r="F15" s="56"/>
      <c r="G15" s="56"/>
      <c r="H15" s="56"/>
      <c r="I15" s="56"/>
      <c r="J15" s="56"/>
      <c r="K15" s="56">
        <v>12</v>
      </c>
      <c r="L15" s="56"/>
      <c r="M15" s="56"/>
      <c r="N15" s="56"/>
      <c r="O15" s="56"/>
      <c r="P15" s="56">
        <v>23</v>
      </c>
      <c r="Q15" s="56"/>
      <c r="R15" s="56">
        <v>38</v>
      </c>
    </row>
    <row r="16" spans="1:18" x14ac:dyDescent="0.25">
      <c r="A16" s="35" t="s">
        <v>30</v>
      </c>
      <c r="B16" s="56">
        <v>3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>
        <v>23</v>
      </c>
      <c r="Q16" s="56"/>
      <c r="R16" s="56">
        <v>26</v>
      </c>
    </row>
    <row r="17" spans="1:18" x14ac:dyDescent="0.25">
      <c r="A17" s="35" t="s">
        <v>121</v>
      </c>
      <c r="B17" s="56"/>
      <c r="C17" s="56"/>
      <c r="D17" s="56"/>
      <c r="E17" s="56"/>
      <c r="F17" s="56"/>
      <c r="G17" s="56"/>
      <c r="H17" s="56"/>
      <c r="I17" s="56"/>
      <c r="J17" s="56"/>
      <c r="K17" s="56">
        <v>12</v>
      </c>
      <c r="L17" s="56"/>
      <c r="M17" s="56"/>
      <c r="N17" s="56"/>
      <c r="O17" s="56"/>
      <c r="P17" s="56"/>
      <c r="Q17" s="56"/>
      <c r="R17" s="56">
        <v>12</v>
      </c>
    </row>
    <row r="18" spans="1:18" x14ac:dyDescent="0.25">
      <c r="A18" s="12" t="s">
        <v>173</v>
      </c>
      <c r="B18" s="56">
        <v>17</v>
      </c>
      <c r="C18" s="56">
        <v>2</v>
      </c>
      <c r="D18" s="56">
        <v>81</v>
      </c>
      <c r="E18" s="56">
        <v>9</v>
      </c>
      <c r="F18" s="56">
        <v>3</v>
      </c>
      <c r="G18" s="56">
        <v>7</v>
      </c>
      <c r="H18" s="56">
        <v>4</v>
      </c>
      <c r="I18" s="56">
        <v>11</v>
      </c>
      <c r="J18" s="56">
        <v>4</v>
      </c>
      <c r="K18" s="56">
        <v>12</v>
      </c>
      <c r="L18" s="56">
        <v>6</v>
      </c>
      <c r="M18" s="56">
        <v>9</v>
      </c>
      <c r="N18" s="56">
        <v>1</v>
      </c>
      <c r="O18" s="56">
        <v>5</v>
      </c>
      <c r="P18" s="56">
        <v>62</v>
      </c>
      <c r="Q18" s="56"/>
      <c r="R18" s="56">
        <v>233</v>
      </c>
    </row>
  </sheetData>
  <sortState xmlns:xlrd2="http://schemas.microsoft.com/office/spreadsheetml/2017/richdata2" ref="I5:O20">
    <sortCondition descending="1" ref="O5:O2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370-8CD0-45EE-9C3E-6885571E869E}">
  <dimension ref="A1:R16"/>
  <sheetViews>
    <sheetView workbookViewId="0">
      <selection activeCell="I27" sqref="I27"/>
    </sheetView>
  </sheetViews>
  <sheetFormatPr defaultRowHeight="15" x14ac:dyDescent="0.25"/>
  <cols>
    <col min="1" max="1" width="31.5703125" bestFit="1" customWidth="1"/>
    <col min="2" max="2" width="16.28515625" bestFit="1" customWidth="1"/>
    <col min="3" max="3" width="11" bestFit="1" customWidth="1"/>
    <col min="4" max="4" width="6.7109375" bestFit="1" customWidth="1"/>
    <col min="5" max="5" width="5.5703125" bestFit="1" customWidth="1"/>
    <col min="6" max="6" width="6.42578125" bestFit="1" customWidth="1"/>
    <col min="7" max="7" width="11.28515625" bestFit="1" customWidth="1"/>
    <col min="8" max="8" width="4.5703125" customWidth="1"/>
    <col min="9" max="9" width="31.5703125" bestFit="1" customWidth="1"/>
    <col min="10" max="10" width="10.5703125" bestFit="1" customWidth="1"/>
    <col min="11" max="11" width="11" bestFit="1" customWidth="1"/>
    <col min="12" max="12" width="6.7109375" bestFit="1" customWidth="1"/>
    <col min="13" max="13" width="5.5703125" bestFit="1" customWidth="1"/>
    <col min="14" max="14" width="6.28515625" bestFit="1" customWidth="1"/>
    <col min="15" max="15" width="11.140625" bestFit="1" customWidth="1"/>
    <col min="16" max="16" width="3.42578125" customWidth="1"/>
    <col min="17" max="22" width="31.5703125" bestFit="1" customWidth="1"/>
    <col min="23" max="23" width="29.28515625" bestFit="1" customWidth="1"/>
    <col min="24" max="24" width="27.7109375" bestFit="1" customWidth="1"/>
    <col min="25" max="28" width="3" bestFit="1" customWidth="1"/>
    <col min="29" max="29" width="5" bestFit="1" customWidth="1"/>
    <col min="30" max="32" width="3" bestFit="1" customWidth="1"/>
    <col min="33" max="33" width="6" bestFit="1" customWidth="1"/>
    <col min="34" max="39" width="3" bestFit="1" customWidth="1"/>
    <col min="40" max="40" width="6" bestFit="1" customWidth="1"/>
    <col min="41" max="42" width="5" bestFit="1" customWidth="1"/>
    <col min="43" max="43" width="3" bestFit="1" customWidth="1"/>
    <col min="44" max="44" width="5" bestFit="1" customWidth="1"/>
    <col min="45" max="46" width="3" bestFit="1" customWidth="1"/>
    <col min="47" max="47" width="5" bestFit="1" customWidth="1"/>
    <col min="48" max="51" width="3" bestFit="1" customWidth="1"/>
    <col min="52" max="52" width="5" bestFit="1" customWidth="1"/>
    <col min="53" max="53" width="3" bestFit="1" customWidth="1"/>
    <col min="54" max="54" width="5" bestFit="1" customWidth="1"/>
    <col min="55" max="56" width="3" bestFit="1" customWidth="1"/>
    <col min="57" max="58" width="4" bestFit="1" customWidth="1"/>
    <col min="59" max="59" width="6" bestFit="1" customWidth="1"/>
    <col min="60" max="60" width="7" bestFit="1" customWidth="1"/>
    <col min="61" max="61" width="4" bestFit="1" customWidth="1"/>
    <col min="62" max="62" width="6" bestFit="1" customWidth="1"/>
    <col min="63" max="86" width="4" bestFit="1" customWidth="1"/>
    <col min="87" max="87" width="6" bestFit="1" customWidth="1"/>
    <col min="88" max="88" width="11.28515625" bestFit="1" customWidth="1"/>
  </cols>
  <sheetData>
    <row r="1" spans="1:18" x14ac:dyDescent="0.25">
      <c r="A1" s="11" t="s">
        <v>7</v>
      </c>
      <c r="B1" t="s">
        <v>426</v>
      </c>
    </row>
    <row r="3" spans="1:18" ht="15.75" thickBot="1" x14ac:dyDescent="0.3">
      <c r="A3" s="11" t="s">
        <v>427</v>
      </c>
      <c r="B3" s="11" t="s">
        <v>428</v>
      </c>
    </row>
    <row r="4" spans="1:18" ht="15.75" thickBot="1" x14ac:dyDescent="0.3">
      <c r="A4" s="11" t="s">
        <v>172</v>
      </c>
      <c r="B4" t="s">
        <v>68</v>
      </c>
      <c r="C4" t="s">
        <v>20</v>
      </c>
      <c r="D4" t="s">
        <v>30</v>
      </c>
      <c r="E4" t="s">
        <v>25</v>
      </c>
      <c r="F4" t="s">
        <v>121</v>
      </c>
      <c r="G4" t="s">
        <v>173</v>
      </c>
      <c r="I4" s="59" t="s">
        <v>429</v>
      </c>
      <c r="J4" s="62" t="s">
        <v>68</v>
      </c>
      <c r="K4" s="62" t="s">
        <v>20</v>
      </c>
      <c r="L4" s="62" t="s">
        <v>30</v>
      </c>
      <c r="M4" s="62" t="s">
        <v>25</v>
      </c>
      <c r="N4" s="62" t="s">
        <v>121</v>
      </c>
      <c r="O4" s="63" t="s">
        <v>173</v>
      </c>
      <c r="Q4" s="59" t="s">
        <v>429</v>
      </c>
      <c r="R4" s="60" t="s">
        <v>173</v>
      </c>
    </row>
    <row r="5" spans="1:18" x14ac:dyDescent="0.25">
      <c r="A5" s="12" t="s">
        <v>28</v>
      </c>
      <c r="C5">
        <v>87</v>
      </c>
      <c r="G5">
        <v>87</v>
      </c>
      <c r="I5" s="58" t="s">
        <v>28</v>
      </c>
      <c r="J5" s="67"/>
      <c r="K5" s="67">
        <v>87</v>
      </c>
      <c r="L5" s="67"/>
      <c r="M5" s="67"/>
      <c r="N5" s="67"/>
      <c r="O5" s="67">
        <v>87</v>
      </c>
      <c r="Q5" s="58" t="s">
        <v>28</v>
      </c>
      <c r="R5" s="69">
        <v>87</v>
      </c>
    </row>
    <row r="6" spans="1:18" x14ac:dyDescent="0.25">
      <c r="A6" s="12" t="s">
        <v>72</v>
      </c>
      <c r="B6">
        <v>3</v>
      </c>
      <c r="G6">
        <v>3</v>
      </c>
      <c r="I6" s="57" t="s">
        <v>31</v>
      </c>
      <c r="J6" s="67"/>
      <c r="K6" s="67"/>
      <c r="L6" s="67">
        <v>67</v>
      </c>
      <c r="M6" s="67"/>
      <c r="N6" s="67"/>
      <c r="O6" s="67">
        <v>67</v>
      </c>
      <c r="Q6" s="57" t="s">
        <v>31</v>
      </c>
      <c r="R6" s="70">
        <v>67</v>
      </c>
    </row>
    <row r="7" spans="1:18" x14ac:dyDescent="0.25">
      <c r="A7" s="12" t="s">
        <v>69</v>
      </c>
      <c r="B7">
        <v>3</v>
      </c>
      <c r="G7">
        <v>3</v>
      </c>
      <c r="I7" s="57" t="s">
        <v>21</v>
      </c>
      <c r="J7" s="67"/>
      <c r="K7" s="67">
        <v>28</v>
      </c>
      <c r="L7" s="67"/>
      <c r="M7" s="67"/>
      <c r="N7" s="67"/>
      <c r="O7" s="67">
        <v>28</v>
      </c>
      <c r="Q7" s="57" t="s">
        <v>21</v>
      </c>
      <c r="R7" s="70">
        <v>28</v>
      </c>
    </row>
    <row r="8" spans="1:18" x14ac:dyDescent="0.25">
      <c r="A8" s="12" t="s">
        <v>71</v>
      </c>
      <c r="B8">
        <v>3</v>
      </c>
      <c r="G8">
        <v>3</v>
      </c>
      <c r="I8" s="57" t="s">
        <v>106</v>
      </c>
      <c r="J8" s="67"/>
      <c r="K8" s="67"/>
      <c r="L8" s="67">
        <v>14</v>
      </c>
      <c r="M8" s="67"/>
      <c r="N8" s="67"/>
      <c r="O8" s="67">
        <v>14</v>
      </c>
      <c r="Q8" s="57" t="s">
        <v>106</v>
      </c>
      <c r="R8" s="70">
        <v>14</v>
      </c>
    </row>
    <row r="9" spans="1:18" x14ac:dyDescent="0.25">
      <c r="A9" s="12" t="s">
        <v>73</v>
      </c>
      <c r="D9">
        <v>6</v>
      </c>
      <c r="G9">
        <v>6</v>
      </c>
      <c r="I9" s="57" t="s">
        <v>121</v>
      </c>
      <c r="J9" s="67"/>
      <c r="K9" s="67"/>
      <c r="L9" s="67"/>
      <c r="M9" s="67"/>
      <c r="N9" s="67">
        <v>12</v>
      </c>
      <c r="O9" s="67">
        <v>12</v>
      </c>
      <c r="Q9" s="57" t="s">
        <v>121</v>
      </c>
      <c r="R9" s="70">
        <v>12</v>
      </c>
    </row>
    <row r="10" spans="1:18" x14ac:dyDescent="0.25">
      <c r="A10" s="12" t="s">
        <v>31</v>
      </c>
      <c r="D10">
        <v>67</v>
      </c>
      <c r="G10">
        <v>67</v>
      </c>
      <c r="I10" s="57" t="s">
        <v>25</v>
      </c>
      <c r="J10" s="67"/>
      <c r="K10" s="67"/>
      <c r="L10" s="67"/>
      <c r="M10" s="67">
        <v>9</v>
      </c>
      <c r="N10" s="67"/>
      <c r="O10" s="67">
        <v>9</v>
      </c>
      <c r="Q10" s="57" t="s">
        <v>25</v>
      </c>
      <c r="R10" s="70">
        <v>9</v>
      </c>
    </row>
    <row r="11" spans="1:18" x14ac:dyDescent="0.25">
      <c r="A11" s="12" t="s">
        <v>21</v>
      </c>
      <c r="C11">
        <v>28</v>
      </c>
      <c r="G11">
        <v>28</v>
      </c>
      <c r="I11" s="57" t="s">
        <v>73</v>
      </c>
      <c r="J11" s="67"/>
      <c r="K11" s="67"/>
      <c r="L11" s="67">
        <v>6</v>
      </c>
      <c r="M11" s="67"/>
      <c r="N11" s="67"/>
      <c r="O11" s="67">
        <v>6</v>
      </c>
      <c r="Q11" s="57" t="s">
        <v>73</v>
      </c>
      <c r="R11" s="70">
        <v>6</v>
      </c>
    </row>
    <row r="12" spans="1:18" x14ac:dyDescent="0.25">
      <c r="A12" s="12" t="s">
        <v>138</v>
      </c>
      <c r="D12">
        <v>3</v>
      </c>
      <c r="G12">
        <v>3</v>
      </c>
      <c r="I12" s="57" t="s">
        <v>72</v>
      </c>
      <c r="J12" s="67">
        <v>3</v>
      </c>
      <c r="K12" s="67"/>
      <c r="L12" s="67"/>
      <c r="M12" s="67"/>
      <c r="N12" s="67"/>
      <c r="O12" s="67">
        <v>3</v>
      </c>
      <c r="Q12" s="57" t="s">
        <v>72</v>
      </c>
      <c r="R12" s="70">
        <v>3</v>
      </c>
    </row>
    <row r="13" spans="1:18" x14ac:dyDescent="0.25">
      <c r="A13" s="12" t="s">
        <v>106</v>
      </c>
      <c r="D13">
        <v>14</v>
      </c>
      <c r="G13">
        <v>14</v>
      </c>
      <c r="I13" s="57" t="s">
        <v>69</v>
      </c>
      <c r="J13" s="67">
        <v>3</v>
      </c>
      <c r="K13" s="67"/>
      <c r="L13" s="67"/>
      <c r="M13" s="67"/>
      <c r="N13" s="67"/>
      <c r="O13" s="67">
        <v>3</v>
      </c>
      <c r="Q13" s="57" t="s">
        <v>69</v>
      </c>
      <c r="R13" s="70">
        <v>3</v>
      </c>
    </row>
    <row r="14" spans="1:18" x14ac:dyDescent="0.25">
      <c r="A14" s="12" t="s">
        <v>25</v>
      </c>
      <c r="E14">
        <v>9</v>
      </c>
      <c r="G14">
        <v>9</v>
      </c>
      <c r="I14" s="57" t="s">
        <v>71</v>
      </c>
      <c r="J14" s="67">
        <v>3</v>
      </c>
      <c r="K14" s="67"/>
      <c r="L14" s="67"/>
      <c r="M14" s="67"/>
      <c r="N14" s="67"/>
      <c r="O14" s="67">
        <v>3</v>
      </c>
      <c r="Q14" s="57" t="s">
        <v>71</v>
      </c>
      <c r="R14" s="70">
        <v>3</v>
      </c>
    </row>
    <row r="15" spans="1:18" ht="15.75" thickBot="1" x14ac:dyDescent="0.3">
      <c r="A15" s="12" t="s">
        <v>121</v>
      </c>
      <c r="F15">
        <v>12</v>
      </c>
      <c r="G15">
        <v>12</v>
      </c>
      <c r="I15" s="64" t="s">
        <v>138</v>
      </c>
      <c r="J15" s="68"/>
      <c r="K15" s="68"/>
      <c r="L15" s="68">
        <v>3</v>
      </c>
      <c r="M15" s="68"/>
      <c r="N15" s="68"/>
      <c r="O15" s="68">
        <v>3</v>
      </c>
      <c r="Q15" s="64" t="s">
        <v>138</v>
      </c>
      <c r="R15" s="71">
        <v>3</v>
      </c>
    </row>
    <row r="16" spans="1:18" ht="15.75" thickBot="1" x14ac:dyDescent="0.3">
      <c r="A16" s="12" t="s">
        <v>173</v>
      </c>
      <c r="B16">
        <v>9</v>
      </c>
      <c r="C16">
        <v>115</v>
      </c>
      <c r="D16">
        <v>90</v>
      </c>
      <c r="E16">
        <v>9</v>
      </c>
      <c r="F16">
        <v>12</v>
      </c>
      <c r="G16">
        <v>235</v>
      </c>
      <c r="I16" s="61" t="s">
        <v>430</v>
      </c>
      <c r="J16" s="65">
        <f>SUM(J5:J15)</f>
        <v>9</v>
      </c>
      <c r="K16" s="65">
        <f t="shared" ref="K16:O16" si="0">SUM(K5:K15)</f>
        <v>115</v>
      </c>
      <c r="L16" s="65">
        <f t="shared" si="0"/>
        <v>90</v>
      </c>
      <c r="M16" s="65">
        <f t="shared" si="0"/>
        <v>9</v>
      </c>
      <c r="N16" s="65">
        <f t="shared" si="0"/>
        <v>12</v>
      </c>
      <c r="O16" s="66">
        <f t="shared" si="0"/>
        <v>235</v>
      </c>
      <c r="Q16" s="61" t="s">
        <v>430</v>
      </c>
      <c r="R16" s="66">
        <f t="shared" ref="R16" si="1">SUM(R5:R15)</f>
        <v>235</v>
      </c>
    </row>
  </sheetData>
  <sortState xmlns:xlrd2="http://schemas.microsoft.com/office/spreadsheetml/2017/richdata2" ref="I5:O15">
    <sortCondition descending="1" ref="O5:O1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8582-4FB7-40A5-845F-21B92248B051}">
  <dimension ref="A3:H16"/>
  <sheetViews>
    <sheetView workbookViewId="0">
      <selection activeCell="E25" sqref="E25"/>
    </sheetView>
  </sheetViews>
  <sheetFormatPr defaultRowHeight="15" x14ac:dyDescent="0.25"/>
  <cols>
    <col min="1" max="1" width="31.5703125" bestFit="1" customWidth="1"/>
    <col min="2" max="2" width="16.28515625" bestFit="1" customWidth="1"/>
    <col min="3" max="3" width="11.28515625" bestFit="1" customWidth="1"/>
    <col min="5" max="5" width="31.5703125" bestFit="1" customWidth="1"/>
    <col min="6" max="6" width="11.5703125" bestFit="1" customWidth="1"/>
    <col min="7" max="7" width="11.5703125" customWidth="1"/>
    <col min="8" max="8" width="11.5703125" bestFit="1" customWidth="1"/>
  </cols>
  <sheetData>
    <row r="3" spans="1:8" x14ac:dyDescent="0.25">
      <c r="A3" s="11" t="s">
        <v>431</v>
      </c>
      <c r="B3" s="11" t="s">
        <v>428</v>
      </c>
    </row>
    <row r="4" spans="1:8" x14ac:dyDescent="0.25">
      <c r="A4" s="11" t="s">
        <v>172</v>
      </c>
      <c r="B4" t="s">
        <v>24</v>
      </c>
      <c r="C4" t="s">
        <v>173</v>
      </c>
      <c r="E4" s="14" t="s">
        <v>433</v>
      </c>
      <c r="F4" s="72" t="s">
        <v>24</v>
      </c>
      <c r="G4" s="72" t="s">
        <v>432</v>
      </c>
      <c r="H4" s="14" t="s">
        <v>173</v>
      </c>
    </row>
    <row r="5" spans="1:8" x14ac:dyDescent="0.25">
      <c r="A5" s="12" t="s">
        <v>28</v>
      </c>
      <c r="B5">
        <v>16401.399999999994</v>
      </c>
      <c r="C5">
        <v>16401.399999999994</v>
      </c>
      <c r="E5" s="12" t="s">
        <v>121</v>
      </c>
      <c r="F5" s="73">
        <v>192000</v>
      </c>
      <c r="G5" s="74">
        <f>F5/1000</f>
        <v>192</v>
      </c>
      <c r="H5" s="73">
        <v>192000</v>
      </c>
    </row>
    <row r="6" spans="1:8" x14ac:dyDescent="0.25">
      <c r="A6" s="12" t="s">
        <v>72</v>
      </c>
      <c r="B6">
        <v>20.400000000000002</v>
      </c>
      <c r="C6">
        <v>20.400000000000002</v>
      </c>
      <c r="E6" s="12" t="s">
        <v>28</v>
      </c>
      <c r="F6" s="73">
        <v>16401.399999999994</v>
      </c>
      <c r="G6" s="74">
        <f t="shared" ref="G6:G15" si="0">F6/1000</f>
        <v>16.401399999999995</v>
      </c>
      <c r="H6" s="73">
        <v>16401.399999999994</v>
      </c>
    </row>
    <row r="7" spans="1:8" x14ac:dyDescent="0.25">
      <c r="A7" s="12" t="s">
        <v>69</v>
      </c>
      <c r="B7">
        <v>51</v>
      </c>
      <c r="C7">
        <v>51</v>
      </c>
      <c r="E7" s="12" t="s">
        <v>31</v>
      </c>
      <c r="F7" s="73">
        <v>6208.0099999999984</v>
      </c>
      <c r="G7" s="74">
        <f t="shared" si="0"/>
        <v>6.208009999999998</v>
      </c>
      <c r="H7" s="73">
        <v>6208.0099999999984</v>
      </c>
    </row>
    <row r="8" spans="1:8" x14ac:dyDescent="0.25">
      <c r="A8" s="12" t="s">
        <v>71</v>
      </c>
      <c r="B8">
        <v>30.599999999999998</v>
      </c>
      <c r="C8">
        <v>30.599999999999998</v>
      </c>
      <c r="E8" s="12" t="s">
        <v>21</v>
      </c>
      <c r="F8" s="73">
        <v>2375.9999999999995</v>
      </c>
      <c r="G8" s="74">
        <f t="shared" si="0"/>
        <v>2.3759999999999994</v>
      </c>
      <c r="H8" s="73">
        <v>2375.9999999999995</v>
      </c>
    </row>
    <row r="9" spans="1:8" x14ac:dyDescent="0.25">
      <c r="A9" s="12" t="s">
        <v>73</v>
      </c>
      <c r="B9">
        <v>175</v>
      </c>
      <c r="C9">
        <v>175</v>
      </c>
      <c r="E9" s="12" t="s">
        <v>138</v>
      </c>
      <c r="F9" s="73">
        <v>711.6</v>
      </c>
      <c r="G9" s="74">
        <f t="shared" si="0"/>
        <v>0.71160000000000001</v>
      </c>
      <c r="H9" s="73">
        <v>711.6</v>
      </c>
    </row>
    <row r="10" spans="1:8" x14ac:dyDescent="0.25">
      <c r="A10" s="12" t="s">
        <v>31</v>
      </c>
      <c r="B10">
        <v>6208.0099999999984</v>
      </c>
      <c r="C10">
        <v>6208.0099999999984</v>
      </c>
      <c r="E10" s="12" t="s">
        <v>25</v>
      </c>
      <c r="F10" s="73">
        <v>696.4</v>
      </c>
      <c r="G10" s="74">
        <f t="shared" si="0"/>
        <v>0.69640000000000002</v>
      </c>
      <c r="H10" s="73">
        <v>696.4</v>
      </c>
    </row>
    <row r="11" spans="1:8" x14ac:dyDescent="0.25">
      <c r="A11" s="12" t="s">
        <v>21</v>
      </c>
      <c r="B11">
        <v>2375.9999999999995</v>
      </c>
      <c r="C11">
        <v>2375.9999999999995</v>
      </c>
      <c r="E11" s="12" t="s">
        <v>73</v>
      </c>
      <c r="F11" s="73">
        <v>175</v>
      </c>
      <c r="G11" s="74">
        <f t="shared" si="0"/>
        <v>0.17499999999999999</v>
      </c>
      <c r="H11" s="73">
        <v>175</v>
      </c>
    </row>
    <row r="12" spans="1:8" x14ac:dyDescent="0.25">
      <c r="A12" s="12" t="s">
        <v>138</v>
      </c>
      <c r="B12">
        <v>711.6</v>
      </c>
      <c r="C12">
        <v>711.6</v>
      </c>
      <c r="E12" s="12" t="s">
        <v>106</v>
      </c>
      <c r="F12" s="73">
        <v>89.4</v>
      </c>
      <c r="G12" s="74">
        <f t="shared" si="0"/>
        <v>8.9400000000000007E-2</v>
      </c>
      <c r="H12" s="73">
        <v>89.4</v>
      </c>
    </row>
    <row r="13" spans="1:8" x14ac:dyDescent="0.25">
      <c r="A13" s="12" t="s">
        <v>106</v>
      </c>
      <c r="B13">
        <v>89.4</v>
      </c>
      <c r="C13">
        <v>89.4</v>
      </c>
      <c r="E13" s="12" t="s">
        <v>69</v>
      </c>
      <c r="F13" s="73">
        <v>51</v>
      </c>
      <c r="G13" s="74">
        <f t="shared" si="0"/>
        <v>5.0999999999999997E-2</v>
      </c>
      <c r="H13" s="73">
        <v>51</v>
      </c>
    </row>
    <row r="14" spans="1:8" x14ac:dyDescent="0.25">
      <c r="A14" s="12" t="s">
        <v>25</v>
      </c>
      <c r="B14">
        <v>696.4</v>
      </c>
      <c r="C14">
        <v>696.4</v>
      </c>
      <c r="E14" s="12" t="s">
        <v>71</v>
      </c>
      <c r="F14" s="73">
        <v>30.599999999999998</v>
      </c>
      <c r="G14" s="74">
        <f t="shared" si="0"/>
        <v>3.0599999999999999E-2</v>
      </c>
      <c r="H14" s="73">
        <v>30.599999999999998</v>
      </c>
    </row>
    <row r="15" spans="1:8" x14ac:dyDescent="0.25">
      <c r="A15" s="12" t="s">
        <v>121</v>
      </c>
      <c r="B15">
        <v>192000</v>
      </c>
      <c r="C15">
        <v>192000</v>
      </c>
      <c r="E15" s="12" t="s">
        <v>72</v>
      </c>
      <c r="F15" s="73">
        <v>20.400000000000002</v>
      </c>
      <c r="G15" s="74">
        <f t="shared" si="0"/>
        <v>2.0400000000000001E-2</v>
      </c>
      <c r="H15" s="73">
        <v>20.400000000000002</v>
      </c>
    </row>
    <row r="16" spans="1:8" x14ac:dyDescent="0.25">
      <c r="A16" s="12" t="s">
        <v>173</v>
      </c>
      <c r="B16">
        <v>218759.81</v>
      </c>
      <c r="C16">
        <v>218759.81</v>
      </c>
    </row>
  </sheetData>
  <sortState xmlns:xlrd2="http://schemas.microsoft.com/office/spreadsheetml/2017/richdata2" ref="E5:H15">
    <sortCondition descending="1" ref="F5:F1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7"/>
  <sheetViews>
    <sheetView workbookViewId="0">
      <pane ySplit="1" topLeftCell="A3" activePane="bottomLeft" state="frozen"/>
      <selection pane="bottomLeft" activeCell="A2" sqref="A2"/>
    </sheetView>
  </sheetViews>
  <sheetFormatPr defaultRowHeight="15" x14ac:dyDescent="0.25"/>
  <cols>
    <col min="1" max="1" width="13.7109375" bestFit="1" customWidth="1"/>
    <col min="2" max="2" width="33.85546875" bestFit="1" customWidth="1"/>
    <col min="3" max="3" width="12.85546875" bestFit="1" customWidth="1"/>
    <col min="4" max="4" width="26" bestFit="1" customWidth="1"/>
    <col min="5" max="6" width="11.5703125" customWidth="1"/>
    <col min="7" max="7" width="15" customWidth="1"/>
    <col min="8" max="8" width="15.5703125" customWidth="1"/>
    <col min="9" max="9" width="11.5703125" customWidth="1"/>
    <col min="10" max="10" width="35.7109375" customWidth="1"/>
    <col min="11" max="15" width="11.5703125" customWidth="1"/>
  </cols>
  <sheetData>
    <row r="1" spans="1:15" ht="39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>
        <v>1090</v>
      </c>
      <c r="B2" s="5" t="s">
        <v>15</v>
      </c>
      <c r="C2" s="5" t="s">
        <v>16</v>
      </c>
      <c r="D2" s="5" t="s">
        <v>17</v>
      </c>
      <c r="E2" s="6" t="s">
        <v>18</v>
      </c>
      <c r="F2" s="7">
        <v>12</v>
      </c>
      <c r="G2" s="7">
        <v>176</v>
      </c>
      <c r="H2" s="6" t="s">
        <v>19</v>
      </c>
      <c r="I2" s="8" t="s">
        <v>20</v>
      </c>
      <c r="J2" s="8" t="s">
        <v>21</v>
      </c>
      <c r="K2" s="6" t="s">
        <v>22</v>
      </c>
      <c r="L2" s="6" t="s">
        <v>23</v>
      </c>
      <c r="M2" s="7">
        <v>1.7</v>
      </c>
      <c r="N2" s="6" t="s">
        <v>24</v>
      </c>
      <c r="O2" s="6">
        <v>1</v>
      </c>
    </row>
    <row r="3" spans="1:15" x14ac:dyDescent="0.25">
      <c r="A3" s="4">
        <v>1090</v>
      </c>
      <c r="B3" s="5" t="s">
        <v>15</v>
      </c>
      <c r="C3" s="5" t="s">
        <v>16</v>
      </c>
      <c r="D3" s="5" t="s">
        <v>17</v>
      </c>
      <c r="E3" s="6" t="s">
        <v>18</v>
      </c>
      <c r="F3" s="7">
        <v>12</v>
      </c>
      <c r="G3" s="7">
        <v>176</v>
      </c>
      <c r="H3" s="6" t="s">
        <v>19</v>
      </c>
      <c r="I3" s="6" t="s">
        <v>25</v>
      </c>
      <c r="J3" s="6" t="s">
        <v>25</v>
      </c>
      <c r="K3" s="6" t="s">
        <v>26</v>
      </c>
      <c r="L3" s="6" t="s">
        <v>23</v>
      </c>
      <c r="M3" s="7">
        <v>61</v>
      </c>
      <c r="N3" s="6" t="s">
        <v>24</v>
      </c>
      <c r="O3" s="6">
        <v>1</v>
      </c>
    </row>
    <row r="4" spans="1:15" x14ac:dyDescent="0.25">
      <c r="A4" s="4">
        <v>1090</v>
      </c>
      <c r="B4" s="5" t="s">
        <v>15</v>
      </c>
      <c r="C4" s="5" t="s">
        <v>16</v>
      </c>
      <c r="D4" s="5" t="s">
        <v>17</v>
      </c>
      <c r="E4" s="6" t="s">
        <v>18</v>
      </c>
      <c r="F4" s="7">
        <v>12</v>
      </c>
      <c r="G4" s="7">
        <v>176</v>
      </c>
      <c r="H4" s="6" t="s">
        <v>27</v>
      </c>
      <c r="I4" s="6" t="s">
        <v>20</v>
      </c>
      <c r="J4" s="6" t="s">
        <v>28</v>
      </c>
      <c r="K4" s="6" t="s">
        <v>29</v>
      </c>
      <c r="L4" s="6" t="s">
        <v>23</v>
      </c>
      <c r="M4" s="7">
        <v>48.8</v>
      </c>
      <c r="N4" s="6" t="s">
        <v>24</v>
      </c>
      <c r="O4" s="6">
        <v>1</v>
      </c>
    </row>
    <row r="5" spans="1:15" x14ac:dyDescent="0.25">
      <c r="A5" s="4">
        <v>1090</v>
      </c>
      <c r="B5" s="5" t="s">
        <v>15</v>
      </c>
      <c r="C5" s="5" t="s">
        <v>16</v>
      </c>
      <c r="D5" s="5" t="s">
        <v>17</v>
      </c>
      <c r="E5" s="6" t="s">
        <v>18</v>
      </c>
      <c r="F5" s="7">
        <v>12</v>
      </c>
      <c r="G5" s="7">
        <v>176</v>
      </c>
      <c r="H5" s="6" t="s">
        <v>27</v>
      </c>
      <c r="I5" s="6" t="s">
        <v>30</v>
      </c>
      <c r="J5" s="6" t="s">
        <v>31</v>
      </c>
      <c r="K5" s="6" t="s">
        <v>32</v>
      </c>
      <c r="L5" s="6" t="s">
        <v>23</v>
      </c>
      <c r="M5" s="7">
        <v>21.2</v>
      </c>
      <c r="N5" s="6" t="s">
        <v>24</v>
      </c>
      <c r="O5" s="6">
        <v>1</v>
      </c>
    </row>
    <row r="6" spans="1:15" hidden="1" x14ac:dyDescent="0.25">
      <c r="A6" s="4">
        <v>1155</v>
      </c>
      <c r="B6" s="5" t="s">
        <v>33</v>
      </c>
      <c r="C6" s="5" t="s">
        <v>16</v>
      </c>
      <c r="D6" s="5" t="s">
        <v>17</v>
      </c>
      <c r="E6" s="6" t="s">
        <v>18</v>
      </c>
      <c r="F6" s="7">
        <v>12</v>
      </c>
      <c r="G6" s="7">
        <v>176</v>
      </c>
      <c r="H6" s="6" t="s">
        <v>19</v>
      </c>
      <c r="I6" s="8" t="s">
        <v>20</v>
      </c>
      <c r="J6" s="8" t="s">
        <v>21</v>
      </c>
      <c r="K6" s="6" t="s">
        <v>22</v>
      </c>
      <c r="L6" s="6" t="s">
        <v>23</v>
      </c>
      <c r="M6" s="7">
        <v>1.7</v>
      </c>
      <c r="N6" s="6" t="s">
        <v>24</v>
      </c>
      <c r="O6" s="6">
        <v>1</v>
      </c>
    </row>
    <row r="7" spans="1:15" hidden="1" x14ac:dyDescent="0.25">
      <c r="A7" s="4">
        <v>1155</v>
      </c>
      <c r="B7" s="5" t="s">
        <v>33</v>
      </c>
      <c r="C7" s="5" t="s">
        <v>16</v>
      </c>
      <c r="D7" s="5" t="s">
        <v>17</v>
      </c>
      <c r="E7" s="6" t="s">
        <v>18</v>
      </c>
      <c r="F7" s="7">
        <v>12</v>
      </c>
      <c r="G7" s="7">
        <v>176</v>
      </c>
      <c r="H7" s="6" t="s">
        <v>19</v>
      </c>
      <c r="I7" s="6" t="s">
        <v>25</v>
      </c>
      <c r="J7" s="6" t="s">
        <v>25</v>
      </c>
      <c r="K7" s="6" t="s">
        <v>26</v>
      </c>
      <c r="L7" s="6" t="s">
        <v>23</v>
      </c>
      <c r="M7" s="7">
        <v>61</v>
      </c>
      <c r="N7" s="6" t="s">
        <v>24</v>
      </c>
      <c r="O7" s="6">
        <v>1</v>
      </c>
    </row>
    <row r="8" spans="1:15" hidden="1" x14ac:dyDescent="0.25">
      <c r="A8" s="4">
        <v>1155</v>
      </c>
      <c r="B8" s="5" t="s">
        <v>33</v>
      </c>
      <c r="C8" s="5" t="s">
        <v>16</v>
      </c>
      <c r="D8" s="5" t="s">
        <v>17</v>
      </c>
      <c r="E8" s="6" t="s">
        <v>18</v>
      </c>
      <c r="F8" s="7">
        <v>12</v>
      </c>
      <c r="G8" s="7">
        <v>176</v>
      </c>
      <c r="H8" s="6" t="s">
        <v>27</v>
      </c>
      <c r="I8" s="6" t="s">
        <v>20</v>
      </c>
      <c r="J8" s="6" t="s">
        <v>28</v>
      </c>
      <c r="K8" s="6" t="s">
        <v>29</v>
      </c>
      <c r="L8" s="6" t="s">
        <v>23</v>
      </c>
      <c r="M8" s="7">
        <v>48.8</v>
      </c>
      <c r="N8" s="6" t="s">
        <v>24</v>
      </c>
      <c r="O8" s="6">
        <v>1</v>
      </c>
    </row>
    <row r="9" spans="1:15" hidden="1" x14ac:dyDescent="0.25">
      <c r="A9" s="4">
        <v>1155</v>
      </c>
      <c r="B9" s="5" t="s">
        <v>33</v>
      </c>
      <c r="C9" s="5" t="s">
        <v>16</v>
      </c>
      <c r="D9" s="5" t="s">
        <v>17</v>
      </c>
      <c r="E9" s="6" t="s">
        <v>18</v>
      </c>
      <c r="F9" s="7">
        <v>12</v>
      </c>
      <c r="G9" s="7">
        <v>176</v>
      </c>
      <c r="H9" s="6" t="s">
        <v>27</v>
      </c>
      <c r="I9" s="6" t="s">
        <v>30</v>
      </c>
      <c r="J9" s="6" t="s">
        <v>31</v>
      </c>
      <c r="K9" s="6" t="s">
        <v>32</v>
      </c>
      <c r="L9" s="6" t="s">
        <v>23</v>
      </c>
      <c r="M9" s="7">
        <v>21.2</v>
      </c>
      <c r="N9" s="6" t="s">
        <v>24</v>
      </c>
      <c r="O9" s="6">
        <v>1</v>
      </c>
    </row>
    <row r="10" spans="1:15" hidden="1" x14ac:dyDescent="0.25">
      <c r="A10" s="4">
        <v>1160</v>
      </c>
      <c r="B10" s="5" t="s">
        <v>34</v>
      </c>
      <c r="C10" s="5" t="s">
        <v>16</v>
      </c>
      <c r="D10" s="5" t="s">
        <v>17</v>
      </c>
      <c r="E10" s="6" t="s">
        <v>18</v>
      </c>
      <c r="F10" s="7">
        <v>12</v>
      </c>
      <c r="G10" s="7">
        <v>176</v>
      </c>
      <c r="H10" s="6" t="s">
        <v>19</v>
      </c>
      <c r="I10" s="8" t="s">
        <v>20</v>
      </c>
      <c r="J10" s="8" t="s">
        <v>21</v>
      </c>
      <c r="K10" s="6" t="s">
        <v>22</v>
      </c>
      <c r="L10" s="6" t="s">
        <v>23</v>
      </c>
      <c r="M10" s="7">
        <v>1.7</v>
      </c>
      <c r="N10" s="6" t="s">
        <v>24</v>
      </c>
      <c r="O10" s="6">
        <v>1</v>
      </c>
    </row>
    <row r="11" spans="1:15" hidden="1" x14ac:dyDescent="0.25">
      <c r="A11" s="4">
        <v>1160</v>
      </c>
      <c r="B11" s="5" t="s">
        <v>34</v>
      </c>
      <c r="C11" s="5" t="s">
        <v>16</v>
      </c>
      <c r="D11" s="5" t="s">
        <v>17</v>
      </c>
      <c r="E11" s="6" t="s">
        <v>18</v>
      </c>
      <c r="F11" s="7">
        <v>12</v>
      </c>
      <c r="G11" s="7">
        <v>176</v>
      </c>
      <c r="H11" s="6" t="s">
        <v>19</v>
      </c>
      <c r="I11" s="6" t="s">
        <v>25</v>
      </c>
      <c r="J11" s="6" t="s">
        <v>25</v>
      </c>
      <c r="K11" s="6" t="s">
        <v>26</v>
      </c>
      <c r="L11" s="6" t="s">
        <v>23</v>
      </c>
      <c r="M11" s="7">
        <v>61</v>
      </c>
      <c r="N11" s="6" t="s">
        <v>24</v>
      </c>
      <c r="O11" s="6">
        <v>1</v>
      </c>
    </row>
    <row r="12" spans="1:15" hidden="1" x14ac:dyDescent="0.25">
      <c r="A12" s="4">
        <v>1160</v>
      </c>
      <c r="B12" s="5" t="s">
        <v>34</v>
      </c>
      <c r="C12" s="5" t="s">
        <v>16</v>
      </c>
      <c r="D12" s="5" t="s">
        <v>17</v>
      </c>
      <c r="E12" s="6" t="s">
        <v>18</v>
      </c>
      <c r="F12" s="7">
        <v>12</v>
      </c>
      <c r="G12" s="7">
        <v>176</v>
      </c>
      <c r="H12" s="6" t="s">
        <v>27</v>
      </c>
      <c r="I12" s="6" t="s">
        <v>20</v>
      </c>
      <c r="J12" s="6" t="s">
        <v>28</v>
      </c>
      <c r="K12" s="6" t="s">
        <v>29</v>
      </c>
      <c r="L12" s="6" t="s">
        <v>23</v>
      </c>
      <c r="M12" s="7">
        <v>48.8</v>
      </c>
      <c r="N12" s="6" t="s">
        <v>24</v>
      </c>
      <c r="O12" s="6">
        <v>1</v>
      </c>
    </row>
    <row r="13" spans="1:15" hidden="1" x14ac:dyDescent="0.25">
      <c r="A13" s="4">
        <v>1160</v>
      </c>
      <c r="B13" s="5" t="s">
        <v>34</v>
      </c>
      <c r="C13" s="5" t="s">
        <v>16</v>
      </c>
      <c r="D13" s="5" t="s">
        <v>17</v>
      </c>
      <c r="E13" s="6" t="s">
        <v>18</v>
      </c>
      <c r="F13" s="7">
        <v>12</v>
      </c>
      <c r="G13" s="7">
        <v>176</v>
      </c>
      <c r="H13" s="6" t="s">
        <v>27</v>
      </c>
      <c r="I13" s="6" t="s">
        <v>30</v>
      </c>
      <c r="J13" s="6" t="s">
        <v>31</v>
      </c>
      <c r="K13" s="6" t="s">
        <v>32</v>
      </c>
      <c r="L13" s="6" t="s">
        <v>23</v>
      </c>
      <c r="M13" s="7">
        <v>21.2</v>
      </c>
      <c r="N13" s="6" t="s">
        <v>24</v>
      </c>
      <c r="O13" s="6">
        <v>1</v>
      </c>
    </row>
    <row r="14" spans="1:15" hidden="1" x14ac:dyDescent="0.25">
      <c r="A14" s="4">
        <v>1165</v>
      </c>
      <c r="B14" s="5" t="s">
        <v>35</v>
      </c>
      <c r="C14" s="5" t="s">
        <v>16</v>
      </c>
      <c r="D14" s="5" t="s">
        <v>17</v>
      </c>
      <c r="E14" s="6" t="s">
        <v>18</v>
      </c>
      <c r="F14" s="7">
        <v>12</v>
      </c>
      <c r="G14" s="7">
        <v>176</v>
      </c>
      <c r="H14" s="6" t="s">
        <v>19</v>
      </c>
      <c r="I14" s="8" t="s">
        <v>20</v>
      </c>
      <c r="J14" s="8" t="s">
        <v>21</v>
      </c>
      <c r="K14" s="6" t="s">
        <v>22</v>
      </c>
      <c r="L14" s="6" t="s">
        <v>23</v>
      </c>
      <c r="M14" s="7">
        <v>1.7</v>
      </c>
      <c r="N14" s="6" t="s">
        <v>24</v>
      </c>
      <c r="O14" s="6">
        <v>1</v>
      </c>
    </row>
    <row r="15" spans="1:15" hidden="1" x14ac:dyDescent="0.25">
      <c r="A15" s="4">
        <v>1165</v>
      </c>
      <c r="B15" s="5" t="s">
        <v>35</v>
      </c>
      <c r="C15" s="5" t="s">
        <v>16</v>
      </c>
      <c r="D15" s="5" t="s">
        <v>17</v>
      </c>
      <c r="E15" s="6" t="s">
        <v>18</v>
      </c>
      <c r="F15" s="7">
        <v>12</v>
      </c>
      <c r="G15" s="7">
        <v>176</v>
      </c>
      <c r="H15" s="6" t="s">
        <v>19</v>
      </c>
      <c r="I15" s="6" t="s">
        <v>25</v>
      </c>
      <c r="J15" s="6" t="s">
        <v>25</v>
      </c>
      <c r="K15" s="6" t="s">
        <v>26</v>
      </c>
      <c r="L15" s="6" t="s">
        <v>23</v>
      </c>
      <c r="M15" s="7">
        <v>61</v>
      </c>
      <c r="N15" s="6" t="s">
        <v>24</v>
      </c>
      <c r="O15" s="6">
        <v>1</v>
      </c>
    </row>
    <row r="16" spans="1:15" hidden="1" x14ac:dyDescent="0.25">
      <c r="A16" s="4">
        <v>1165</v>
      </c>
      <c r="B16" s="5" t="s">
        <v>35</v>
      </c>
      <c r="C16" s="5" t="s">
        <v>16</v>
      </c>
      <c r="D16" s="5" t="s">
        <v>17</v>
      </c>
      <c r="E16" s="6" t="s">
        <v>18</v>
      </c>
      <c r="F16" s="7">
        <v>12</v>
      </c>
      <c r="G16" s="7">
        <v>176</v>
      </c>
      <c r="H16" s="6" t="s">
        <v>27</v>
      </c>
      <c r="I16" s="6" t="s">
        <v>20</v>
      </c>
      <c r="J16" s="6" t="s">
        <v>28</v>
      </c>
      <c r="K16" s="6" t="s">
        <v>29</v>
      </c>
      <c r="L16" s="6" t="s">
        <v>23</v>
      </c>
      <c r="M16" s="7">
        <v>48.8</v>
      </c>
      <c r="N16" s="6" t="s">
        <v>24</v>
      </c>
      <c r="O16" s="6">
        <v>1</v>
      </c>
    </row>
    <row r="17" spans="1:15" hidden="1" x14ac:dyDescent="0.25">
      <c r="A17" s="4">
        <v>1165</v>
      </c>
      <c r="B17" s="5" t="s">
        <v>35</v>
      </c>
      <c r="C17" s="5" t="s">
        <v>16</v>
      </c>
      <c r="D17" s="5" t="s">
        <v>17</v>
      </c>
      <c r="E17" s="6" t="s">
        <v>18</v>
      </c>
      <c r="F17" s="7">
        <v>12</v>
      </c>
      <c r="G17" s="7">
        <v>176</v>
      </c>
      <c r="H17" s="6" t="s">
        <v>27</v>
      </c>
      <c r="I17" s="6" t="s">
        <v>30</v>
      </c>
      <c r="J17" s="6" t="s">
        <v>31</v>
      </c>
      <c r="K17" s="6" t="s">
        <v>32</v>
      </c>
      <c r="L17" s="6" t="s">
        <v>23</v>
      </c>
      <c r="M17" s="7">
        <v>21.2</v>
      </c>
      <c r="N17" s="6" t="s">
        <v>24</v>
      </c>
      <c r="O17" s="6">
        <v>1</v>
      </c>
    </row>
    <row r="18" spans="1:15" hidden="1" x14ac:dyDescent="0.25">
      <c r="A18" s="4">
        <v>10231</v>
      </c>
      <c r="B18" s="5" t="s">
        <v>36</v>
      </c>
      <c r="C18" s="5" t="s">
        <v>16</v>
      </c>
      <c r="D18" s="5" t="s">
        <v>37</v>
      </c>
      <c r="E18" s="6" t="s">
        <v>18</v>
      </c>
      <c r="F18" s="9">
        <v>24</v>
      </c>
      <c r="G18" s="9">
        <v>99</v>
      </c>
      <c r="H18" s="6" t="s">
        <v>19</v>
      </c>
      <c r="I18" s="8" t="s">
        <v>20</v>
      </c>
      <c r="J18" s="8" t="s">
        <v>21</v>
      </c>
      <c r="K18" s="6" t="s">
        <v>22</v>
      </c>
      <c r="L18" s="6" t="s">
        <v>23</v>
      </c>
      <c r="M18" s="7">
        <v>2</v>
      </c>
      <c r="N18" s="6" t="s">
        <v>24</v>
      </c>
      <c r="O18" s="6">
        <v>1</v>
      </c>
    </row>
    <row r="19" spans="1:15" hidden="1" x14ac:dyDescent="0.25">
      <c r="A19" s="4">
        <v>10231</v>
      </c>
      <c r="B19" s="5" t="s">
        <v>36</v>
      </c>
      <c r="C19" s="5" t="s">
        <v>16</v>
      </c>
      <c r="D19" s="5" t="s">
        <v>37</v>
      </c>
      <c r="E19" s="6" t="s">
        <v>18</v>
      </c>
      <c r="F19" s="9">
        <v>24</v>
      </c>
      <c r="G19" s="9">
        <v>99</v>
      </c>
      <c r="H19" s="6" t="s">
        <v>19</v>
      </c>
      <c r="I19" s="6" t="s">
        <v>25</v>
      </c>
      <c r="J19" s="6" t="s">
        <v>25</v>
      </c>
      <c r="K19" s="6" t="s">
        <v>26</v>
      </c>
      <c r="L19" s="6" t="s">
        <v>23</v>
      </c>
      <c r="M19" s="7">
        <v>51.8</v>
      </c>
      <c r="N19" s="6" t="s">
        <v>24</v>
      </c>
      <c r="O19" s="6">
        <v>1</v>
      </c>
    </row>
    <row r="20" spans="1:15" hidden="1" x14ac:dyDescent="0.25">
      <c r="A20" s="4">
        <v>10231</v>
      </c>
      <c r="B20" s="5" t="s">
        <v>36</v>
      </c>
      <c r="C20" s="5" t="s">
        <v>16</v>
      </c>
      <c r="D20" s="5" t="s">
        <v>37</v>
      </c>
      <c r="E20" s="6" t="s">
        <v>18</v>
      </c>
      <c r="F20" s="9">
        <v>24</v>
      </c>
      <c r="G20" s="9">
        <v>99</v>
      </c>
      <c r="H20" s="6" t="s">
        <v>27</v>
      </c>
      <c r="I20" s="6" t="s">
        <v>20</v>
      </c>
      <c r="J20" s="6" t="s">
        <v>28</v>
      </c>
      <c r="K20" s="6" t="s">
        <v>29</v>
      </c>
      <c r="L20" s="6" t="s">
        <v>23</v>
      </c>
      <c r="M20" s="7">
        <v>66.8</v>
      </c>
      <c r="N20" s="6" t="s">
        <v>24</v>
      </c>
      <c r="O20" s="6">
        <v>1</v>
      </c>
    </row>
    <row r="21" spans="1:15" hidden="1" x14ac:dyDescent="0.25">
      <c r="A21" s="4">
        <v>10231</v>
      </c>
      <c r="B21" s="5" t="s">
        <v>36</v>
      </c>
      <c r="C21" s="5" t="s">
        <v>16</v>
      </c>
      <c r="D21" s="5" t="s">
        <v>37</v>
      </c>
      <c r="E21" s="6" t="s">
        <v>18</v>
      </c>
      <c r="F21" s="9">
        <v>24</v>
      </c>
      <c r="G21" s="9">
        <v>99</v>
      </c>
      <c r="H21" s="6" t="s">
        <v>27</v>
      </c>
      <c r="I21" s="6" t="s">
        <v>30</v>
      </c>
      <c r="J21" s="6" t="s">
        <v>31</v>
      </c>
      <c r="K21" s="6" t="s">
        <v>32</v>
      </c>
      <c r="L21" s="6" t="s">
        <v>23</v>
      </c>
      <c r="M21" s="7">
        <v>27</v>
      </c>
      <c r="N21" s="6" t="s">
        <v>24</v>
      </c>
      <c r="O21" s="6">
        <v>1</v>
      </c>
    </row>
    <row r="22" spans="1:15" hidden="1" x14ac:dyDescent="0.25">
      <c r="A22" s="4">
        <v>10231</v>
      </c>
      <c r="B22" s="5" t="s">
        <v>36</v>
      </c>
      <c r="C22" s="5" t="s">
        <v>16</v>
      </c>
      <c r="D22" s="5" t="s">
        <v>37</v>
      </c>
      <c r="E22" s="6" t="s">
        <v>18</v>
      </c>
      <c r="F22" s="9">
        <v>24</v>
      </c>
      <c r="G22" s="9">
        <v>99</v>
      </c>
      <c r="H22" s="6" t="s">
        <v>38</v>
      </c>
      <c r="I22" s="6" t="s">
        <v>30</v>
      </c>
      <c r="J22" s="6" t="s">
        <v>31</v>
      </c>
      <c r="K22" s="6" t="s">
        <v>32</v>
      </c>
      <c r="L22" s="6" t="s">
        <v>23</v>
      </c>
      <c r="M22" s="7">
        <v>200</v>
      </c>
      <c r="N22" s="6" t="s">
        <v>24</v>
      </c>
      <c r="O22" s="6">
        <v>1</v>
      </c>
    </row>
    <row r="23" spans="1:15" hidden="1" x14ac:dyDescent="0.25">
      <c r="A23" s="4">
        <v>10232</v>
      </c>
      <c r="B23" s="5" t="s">
        <v>39</v>
      </c>
      <c r="C23" s="5" t="s">
        <v>16</v>
      </c>
      <c r="D23" s="5" t="s">
        <v>37</v>
      </c>
      <c r="E23" s="6" t="s">
        <v>18</v>
      </c>
      <c r="F23" s="9">
        <v>24</v>
      </c>
      <c r="G23" s="9">
        <v>99</v>
      </c>
      <c r="H23" s="6" t="s">
        <v>19</v>
      </c>
      <c r="I23" s="8" t="s">
        <v>20</v>
      </c>
      <c r="J23" s="8" t="s">
        <v>21</v>
      </c>
      <c r="K23" s="6" t="s">
        <v>22</v>
      </c>
      <c r="L23" s="6" t="s">
        <v>23</v>
      </c>
      <c r="M23" s="7">
        <v>2</v>
      </c>
      <c r="N23" s="6" t="s">
        <v>24</v>
      </c>
      <c r="O23" s="6">
        <v>1</v>
      </c>
    </row>
    <row r="24" spans="1:15" hidden="1" x14ac:dyDescent="0.25">
      <c r="A24" s="4">
        <v>10232</v>
      </c>
      <c r="B24" s="5" t="s">
        <v>39</v>
      </c>
      <c r="C24" s="5" t="s">
        <v>16</v>
      </c>
      <c r="D24" s="5" t="s">
        <v>37</v>
      </c>
      <c r="E24" s="6" t="s">
        <v>18</v>
      </c>
      <c r="F24" s="9">
        <v>24</v>
      </c>
      <c r="G24" s="9">
        <v>99</v>
      </c>
      <c r="H24" s="6" t="s">
        <v>19</v>
      </c>
      <c r="I24" s="6" t="s">
        <v>25</v>
      </c>
      <c r="J24" s="6" t="s">
        <v>25</v>
      </c>
      <c r="K24" s="6" t="s">
        <v>26</v>
      </c>
      <c r="L24" s="6" t="s">
        <v>23</v>
      </c>
      <c r="M24" s="7">
        <v>50</v>
      </c>
      <c r="N24" s="6" t="s">
        <v>24</v>
      </c>
      <c r="O24" s="6">
        <v>1</v>
      </c>
    </row>
    <row r="25" spans="1:15" hidden="1" x14ac:dyDescent="0.25">
      <c r="A25" s="4">
        <v>10232</v>
      </c>
      <c r="B25" s="5" t="s">
        <v>39</v>
      </c>
      <c r="C25" s="5" t="s">
        <v>16</v>
      </c>
      <c r="D25" s="5" t="s">
        <v>37</v>
      </c>
      <c r="E25" s="6" t="s">
        <v>18</v>
      </c>
      <c r="F25" s="9">
        <v>24</v>
      </c>
      <c r="G25" s="9">
        <v>99</v>
      </c>
      <c r="H25" s="6" t="s">
        <v>27</v>
      </c>
      <c r="I25" s="6" t="s">
        <v>20</v>
      </c>
      <c r="J25" s="6" t="s">
        <v>28</v>
      </c>
      <c r="K25" s="6" t="s">
        <v>29</v>
      </c>
      <c r="L25" s="6" t="s">
        <v>23</v>
      </c>
      <c r="M25" s="7">
        <v>66.8</v>
      </c>
      <c r="N25" s="6" t="s">
        <v>24</v>
      </c>
      <c r="O25" s="6">
        <v>1</v>
      </c>
    </row>
    <row r="26" spans="1:15" hidden="1" x14ac:dyDescent="0.25">
      <c r="A26" s="4">
        <v>10232</v>
      </c>
      <c r="B26" s="5" t="s">
        <v>39</v>
      </c>
      <c r="C26" s="5" t="s">
        <v>16</v>
      </c>
      <c r="D26" s="5" t="s">
        <v>37</v>
      </c>
      <c r="E26" s="6" t="s">
        <v>18</v>
      </c>
      <c r="F26" s="9">
        <v>24</v>
      </c>
      <c r="G26" s="9">
        <v>99</v>
      </c>
      <c r="H26" s="6" t="s">
        <v>27</v>
      </c>
      <c r="I26" s="6" t="s">
        <v>30</v>
      </c>
      <c r="J26" s="6" t="s">
        <v>31</v>
      </c>
      <c r="K26" s="6" t="s">
        <v>32</v>
      </c>
      <c r="L26" s="6" t="s">
        <v>23</v>
      </c>
      <c r="M26" s="7">
        <v>34</v>
      </c>
      <c r="N26" s="6" t="s">
        <v>24</v>
      </c>
      <c r="O26" s="6">
        <v>1</v>
      </c>
    </row>
    <row r="27" spans="1:15" hidden="1" x14ac:dyDescent="0.25">
      <c r="A27" s="4">
        <v>10232</v>
      </c>
      <c r="B27" s="5" t="s">
        <v>39</v>
      </c>
      <c r="C27" s="5" t="s">
        <v>16</v>
      </c>
      <c r="D27" s="5" t="s">
        <v>37</v>
      </c>
      <c r="E27" s="6" t="s">
        <v>18</v>
      </c>
      <c r="F27" s="9">
        <v>24</v>
      </c>
      <c r="G27" s="9">
        <v>99</v>
      </c>
      <c r="H27" s="6" t="s">
        <v>38</v>
      </c>
      <c r="I27" s="6" t="s">
        <v>30</v>
      </c>
      <c r="J27" s="6" t="s">
        <v>31</v>
      </c>
      <c r="K27" s="6" t="s">
        <v>32</v>
      </c>
      <c r="L27" s="6" t="s">
        <v>23</v>
      </c>
      <c r="M27" s="7">
        <v>200</v>
      </c>
      <c r="N27" s="6" t="s">
        <v>24</v>
      </c>
      <c r="O27" s="6">
        <v>1</v>
      </c>
    </row>
    <row r="28" spans="1:15" hidden="1" x14ac:dyDescent="0.25">
      <c r="A28" s="4">
        <v>10524</v>
      </c>
      <c r="B28" s="5" t="s">
        <v>40</v>
      </c>
      <c r="C28" s="5" t="s">
        <v>16</v>
      </c>
      <c r="D28" s="5" t="s">
        <v>17</v>
      </c>
      <c r="E28" s="6" t="s">
        <v>18</v>
      </c>
      <c r="F28" s="7">
        <v>12</v>
      </c>
      <c r="G28" s="7">
        <v>176</v>
      </c>
      <c r="H28" s="6" t="s">
        <v>19</v>
      </c>
      <c r="I28" s="8" t="s">
        <v>20</v>
      </c>
      <c r="J28" s="8" t="s">
        <v>21</v>
      </c>
      <c r="K28" s="6" t="s">
        <v>22</v>
      </c>
      <c r="L28" s="6" t="s">
        <v>23</v>
      </c>
      <c r="M28" s="7">
        <v>1.7</v>
      </c>
      <c r="N28" s="6" t="s">
        <v>24</v>
      </c>
      <c r="O28" s="6">
        <v>1</v>
      </c>
    </row>
    <row r="29" spans="1:15" hidden="1" x14ac:dyDescent="0.25">
      <c r="A29" s="4">
        <v>10524</v>
      </c>
      <c r="B29" s="5" t="s">
        <v>40</v>
      </c>
      <c r="C29" s="5" t="s">
        <v>16</v>
      </c>
      <c r="D29" s="5" t="s">
        <v>17</v>
      </c>
      <c r="E29" s="6" t="s">
        <v>18</v>
      </c>
      <c r="F29" s="7">
        <v>12</v>
      </c>
      <c r="G29" s="7">
        <v>176</v>
      </c>
      <c r="H29" s="6" t="s">
        <v>19</v>
      </c>
      <c r="I29" s="6" t="s">
        <v>25</v>
      </c>
      <c r="J29" s="6" t="s">
        <v>25</v>
      </c>
      <c r="K29" s="6" t="s">
        <v>26</v>
      </c>
      <c r="L29" s="6" t="s">
        <v>23</v>
      </c>
      <c r="M29" s="7">
        <v>61</v>
      </c>
      <c r="N29" s="6" t="s">
        <v>24</v>
      </c>
      <c r="O29" s="6">
        <v>1</v>
      </c>
    </row>
    <row r="30" spans="1:15" hidden="1" x14ac:dyDescent="0.25">
      <c r="A30" s="4">
        <v>10524</v>
      </c>
      <c r="B30" s="5" t="s">
        <v>40</v>
      </c>
      <c r="C30" s="5" t="s">
        <v>16</v>
      </c>
      <c r="D30" s="5" t="s">
        <v>17</v>
      </c>
      <c r="E30" s="6" t="s">
        <v>18</v>
      </c>
      <c r="F30" s="7">
        <v>12</v>
      </c>
      <c r="G30" s="7">
        <v>176</v>
      </c>
      <c r="H30" s="6" t="s">
        <v>27</v>
      </c>
      <c r="I30" s="6" t="s">
        <v>20</v>
      </c>
      <c r="J30" s="6" t="s">
        <v>28</v>
      </c>
      <c r="K30" s="6" t="s">
        <v>29</v>
      </c>
      <c r="L30" s="6" t="s">
        <v>23</v>
      </c>
      <c r="M30" s="7">
        <v>48.8</v>
      </c>
      <c r="N30" s="6" t="s">
        <v>24</v>
      </c>
      <c r="O30" s="6">
        <v>1</v>
      </c>
    </row>
    <row r="31" spans="1:15" hidden="1" x14ac:dyDescent="0.25">
      <c r="A31" s="4">
        <v>10524</v>
      </c>
      <c r="B31" s="5" t="s">
        <v>40</v>
      </c>
      <c r="C31" s="5" t="s">
        <v>16</v>
      </c>
      <c r="D31" s="5" t="s">
        <v>17</v>
      </c>
      <c r="E31" s="6" t="s">
        <v>18</v>
      </c>
      <c r="F31" s="7">
        <v>12</v>
      </c>
      <c r="G31" s="7">
        <v>176</v>
      </c>
      <c r="H31" s="6" t="s">
        <v>27</v>
      </c>
      <c r="I31" s="6" t="s">
        <v>30</v>
      </c>
      <c r="J31" s="6" t="s">
        <v>31</v>
      </c>
      <c r="K31" s="6" t="s">
        <v>32</v>
      </c>
      <c r="L31" s="6" t="s">
        <v>23</v>
      </c>
      <c r="M31" s="7">
        <v>21.2</v>
      </c>
      <c r="N31" s="6" t="s">
        <v>24</v>
      </c>
      <c r="O31" s="6">
        <v>1</v>
      </c>
    </row>
    <row r="32" spans="1:15" hidden="1" x14ac:dyDescent="0.25">
      <c r="A32" s="4">
        <v>10037</v>
      </c>
      <c r="B32" s="5" t="s">
        <v>41</v>
      </c>
      <c r="C32" s="5" t="s">
        <v>42</v>
      </c>
      <c r="D32" s="5" t="s">
        <v>37</v>
      </c>
      <c r="E32" s="6" t="s">
        <v>18</v>
      </c>
      <c r="F32" s="7">
        <v>8</v>
      </c>
      <c r="G32" s="7">
        <v>63</v>
      </c>
      <c r="H32" s="6" t="s">
        <v>19</v>
      </c>
      <c r="I32" s="8" t="s">
        <v>20</v>
      </c>
      <c r="J32" s="8" t="s">
        <v>21</v>
      </c>
      <c r="K32" s="6" t="s">
        <v>43</v>
      </c>
      <c r="L32" s="6" t="s">
        <v>23</v>
      </c>
      <c r="M32" s="7">
        <v>14.84</v>
      </c>
      <c r="N32" s="6" t="s">
        <v>24</v>
      </c>
      <c r="O32" s="6">
        <v>1</v>
      </c>
    </row>
    <row r="33" spans="1:15" hidden="1" x14ac:dyDescent="0.25">
      <c r="A33" s="4">
        <v>10037</v>
      </c>
      <c r="B33" s="5" t="s">
        <v>41</v>
      </c>
      <c r="C33" s="5" t="s">
        <v>42</v>
      </c>
      <c r="D33" s="5" t="s">
        <v>37</v>
      </c>
      <c r="E33" s="6" t="s">
        <v>18</v>
      </c>
      <c r="F33" s="7">
        <v>8</v>
      </c>
      <c r="G33" s="7">
        <v>63</v>
      </c>
      <c r="H33" s="6" t="s">
        <v>27</v>
      </c>
      <c r="I33" s="6" t="s">
        <v>30</v>
      </c>
      <c r="J33" s="6" t="s">
        <v>31</v>
      </c>
      <c r="K33" s="6" t="s">
        <v>32</v>
      </c>
      <c r="L33" s="6" t="s">
        <v>23</v>
      </c>
      <c r="M33" s="7">
        <v>45.36</v>
      </c>
      <c r="N33" s="6" t="s">
        <v>24</v>
      </c>
      <c r="O33" s="6">
        <v>1</v>
      </c>
    </row>
    <row r="34" spans="1:15" hidden="1" x14ac:dyDescent="0.25">
      <c r="A34" s="4">
        <v>10037</v>
      </c>
      <c r="B34" s="5" t="s">
        <v>41</v>
      </c>
      <c r="C34" s="5" t="s">
        <v>42</v>
      </c>
      <c r="D34" s="5" t="s">
        <v>37</v>
      </c>
      <c r="E34" s="6" t="s">
        <v>18</v>
      </c>
      <c r="F34" s="7">
        <v>8</v>
      </c>
      <c r="G34" s="7">
        <v>63</v>
      </c>
      <c r="H34" s="6" t="s">
        <v>38</v>
      </c>
      <c r="I34" s="6" t="s">
        <v>30</v>
      </c>
      <c r="J34" s="6" t="s">
        <v>31</v>
      </c>
      <c r="K34" s="6" t="s">
        <v>32</v>
      </c>
      <c r="L34" s="6" t="s">
        <v>23</v>
      </c>
      <c r="M34" s="7">
        <v>200</v>
      </c>
      <c r="N34" s="6" t="s">
        <v>24</v>
      </c>
      <c r="O34" s="6">
        <v>1</v>
      </c>
    </row>
    <row r="35" spans="1:15" hidden="1" x14ac:dyDescent="0.25">
      <c r="A35" s="4">
        <v>10038</v>
      </c>
      <c r="B35" s="5" t="s">
        <v>44</v>
      </c>
      <c r="C35" s="5" t="s">
        <v>42</v>
      </c>
      <c r="D35" s="5" t="s">
        <v>37</v>
      </c>
      <c r="E35" s="6" t="s">
        <v>18</v>
      </c>
      <c r="F35" s="7">
        <v>8</v>
      </c>
      <c r="G35" s="7">
        <v>63</v>
      </c>
      <c r="H35" s="6" t="s">
        <v>19</v>
      </c>
      <c r="I35" s="8" t="s">
        <v>20</v>
      </c>
      <c r="J35" s="8" t="s">
        <v>21</v>
      </c>
      <c r="K35" s="6" t="s">
        <v>43</v>
      </c>
      <c r="L35" s="6" t="s">
        <v>23</v>
      </c>
      <c r="M35" s="7">
        <v>14.84</v>
      </c>
      <c r="N35" s="6" t="s">
        <v>24</v>
      </c>
      <c r="O35" s="6">
        <v>1</v>
      </c>
    </row>
    <row r="36" spans="1:15" hidden="1" x14ac:dyDescent="0.25">
      <c r="A36" s="4">
        <v>10038</v>
      </c>
      <c r="B36" s="5" t="s">
        <v>44</v>
      </c>
      <c r="C36" s="5" t="s">
        <v>42</v>
      </c>
      <c r="D36" s="5" t="s">
        <v>37</v>
      </c>
      <c r="E36" s="6" t="s">
        <v>18</v>
      </c>
      <c r="F36" s="7">
        <v>8</v>
      </c>
      <c r="G36" s="7">
        <v>63</v>
      </c>
      <c r="H36" s="6" t="s">
        <v>27</v>
      </c>
      <c r="I36" s="6" t="s">
        <v>30</v>
      </c>
      <c r="J36" s="6" t="s">
        <v>31</v>
      </c>
      <c r="K36" s="6" t="s">
        <v>32</v>
      </c>
      <c r="L36" s="6" t="s">
        <v>23</v>
      </c>
      <c r="M36" s="7">
        <v>45.36</v>
      </c>
      <c r="N36" s="6" t="s">
        <v>24</v>
      </c>
      <c r="O36" s="6">
        <v>1</v>
      </c>
    </row>
    <row r="37" spans="1:15" hidden="1" x14ac:dyDescent="0.25">
      <c r="A37" s="4">
        <v>10038</v>
      </c>
      <c r="B37" s="5" t="s">
        <v>44</v>
      </c>
      <c r="C37" s="5" t="s">
        <v>42</v>
      </c>
      <c r="D37" s="5" t="s">
        <v>37</v>
      </c>
      <c r="E37" s="6" t="s">
        <v>18</v>
      </c>
      <c r="F37" s="7">
        <v>8</v>
      </c>
      <c r="G37" s="7">
        <v>63</v>
      </c>
      <c r="H37" s="6" t="s">
        <v>38</v>
      </c>
      <c r="I37" s="6" t="s">
        <v>30</v>
      </c>
      <c r="J37" s="6" t="s">
        <v>31</v>
      </c>
      <c r="K37" s="6" t="s">
        <v>32</v>
      </c>
      <c r="L37" s="6" t="s">
        <v>23</v>
      </c>
      <c r="M37" s="7">
        <v>200</v>
      </c>
      <c r="N37" s="6" t="s">
        <v>24</v>
      </c>
      <c r="O37" s="6">
        <v>1</v>
      </c>
    </row>
    <row r="38" spans="1:15" hidden="1" x14ac:dyDescent="0.25">
      <c r="A38" s="4">
        <v>10039</v>
      </c>
      <c r="B38" s="5" t="s">
        <v>45</v>
      </c>
      <c r="C38" s="5" t="s">
        <v>42</v>
      </c>
      <c r="D38" s="5" t="s">
        <v>37</v>
      </c>
      <c r="E38" s="6" t="s">
        <v>18</v>
      </c>
      <c r="F38" s="7">
        <v>8</v>
      </c>
      <c r="G38" s="7">
        <v>63</v>
      </c>
      <c r="H38" s="6" t="s">
        <v>19</v>
      </c>
      <c r="I38" s="8" t="s">
        <v>20</v>
      </c>
      <c r="J38" s="8" t="s">
        <v>21</v>
      </c>
      <c r="K38" s="6" t="s">
        <v>43</v>
      </c>
      <c r="L38" s="6" t="s">
        <v>23</v>
      </c>
      <c r="M38" s="7">
        <v>14.84</v>
      </c>
      <c r="N38" s="6" t="s">
        <v>24</v>
      </c>
      <c r="O38" s="6">
        <v>1</v>
      </c>
    </row>
    <row r="39" spans="1:15" hidden="1" x14ac:dyDescent="0.25">
      <c r="A39" s="4">
        <v>10039</v>
      </c>
      <c r="B39" s="5" t="s">
        <v>45</v>
      </c>
      <c r="C39" s="5" t="s">
        <v>42</v>
      </c>
      <c r="D39" s="5" t="s">
        <v>37</v>
      </c>
      <c r="E39" s="6" t="s">
        <v>18</v>
      </c>
      <c r="F39" s="7">
        <v>8</v>
      </c>
      <c r="G39" s="7">
        <v>63</v>
      </c>
      <c r="H39" s="6" t="s">
        <v>27</v>
      </c>
      <c r="I39" s="6" t="s">
        <v>30</v>
      </c>
      <c r="J39" s="6" t="s">
        <v>31</v>
      </c>
      <c r="K39" s="6" t="s">
        <v>32</v>
      </c>
      <c r="L39" s="6" t="s">
        <v>23</v>
      </c>
      <c r="M39" s="7">
        <v>45.36</v>
      </c>
      <c r="N39" s="6" t="s">
        <v>24</v>
      </c>
      <c r="O39" s="6">
        <v>1</v>
      </c>
    </row>
    <row r="40" spans="1:15" hidden="1" x14ac:dyDescent="0.25">
      <c r="A40" s="4">
        <v>10039</v>
      </c>
      <c r="B40" s="5" t="s">
        <v>45</v>
      </c>
      <c r="C40" s="5" t="s">
        <v>42</v>
      </c>
      <c r="D40" s="5" t="s">
        <v>37</v>
      </c>
      <c r="E40" s="6" t="s">
        <v>18</v>
      </c>
      <c r="F40" s="7">
        <v>8</v>
      </c>
      <c r="G40" s="7">
        <v>63</v>
      </c>
      <c r="H40" s="6" t="s">
        <v>38</v>
      </c>
      <c r="I40" s="6" t="s">
        <v>30</v>
      </c>
      <c r="J40" s="6" t="s">
        <v>31</v>
      </c>
      <c r="K40" s="6" t="s">
        <v>32</v>
      </c>
      <c r="L40" s="6" t="s">
        <v>23</v>
      </c>
      <c r="M40" s="7">
        <v>200</v>
      </c>
      <c r="N40" s="6" t="s">
        <v>24</v>
      </c>
      <c r="O40" s="6">
        <v>1</v>
      </c>
    </row>
    <row r="41" spans="1:15" hidden="1" x14ac:dyDescent="0.25">
      <c r="A41" s="4">
        <v>5245</v>
      </c>
      <c r="B41" s="5" t="s">
        <v>46</v>
      </c>
      <c r="C41" s="5" t="s">
        <v>47</v>
      </c>
      <c r="D41" s="5" t="s">
        <v>48</v>
      </c>
      <c r="E41" s="6" t="s">
        <v>18</v>
      </c>
      <c r="F41" s="7">
        <v>12</v>
      </c>
      <c r="G41" s="7">
        <v>40</v>
      </c>
      <c r="H41" s="6" t="s">
        <v>19</v>
      </c>
      <c r="I41" s="6" t="s">
        <v>20</v>
      </c>
      <c r="J41" s="6" t="s">
        <v>28</v>
      </c>
      <c r="K41" s="6" t="s">
        <v>29</v>
      </c>
      <c r="L41" s="6" t="s">
        <v>23</v>
      </c>
      <c r="M41" s="7">
        <v>56</v>
      </c>
      <c r="N41" s="6" t="s">
        <v>24</v>
      </c>
      <c r="O41" s="6">
        <v>1</v>
      </c>
    </row>
    <row r="42" spans="1:15" hidden="1" x14ac:dyDescent="0.25">
      <c r="A42" s="4">
        <v>5245</v>
      </c>
      <c r="B42" s="5" t="s">
        <v>46</v>
      </c>
      <c r="C42" s="5" t="s">
        <v>47</v>
      </c>
      <c r="D42" s="5" t="s">
        <v>48</v>
      </c>
      <c r="E42" s="6" t="s">
        <v>18</v>
      </c>
      <c r="F42" s="7">
        <v>12</v>
      </c>
      <c r="G42" s="7">
        <v>40</v>
      </c>
      <c r="H42" s="6" t="s">
        <v>19</v>
      </c>
      <c r="I42" s="6" t="s">
        <v>30</v>
      </c>
      <c r="J42" s="6" t="s">
        <v>31</v>
      </c>
      <c r="K42" s="6" t="s">
        <v>32</v>
      </c>
      <c r="L42" s="6" t="s">
        <v>23</v>
      </c>
      <c r="M42" s="7">
        <v>8</v>
      </c>
      <c r="N42" s="6" t="s">
        <v>24</v>
      </c>
      <c r="O42" s="6">
        <v>1</v>
      </c>
    </row>
    <row r="43" spans="1:15" hidden="1" x14ac:dyDescent="0.25">
      <c r="A43" s="4">
        <v>5245</v>
      </c>
      <c r="B43" s="5" t="s">
        <v>46</v>
      </c>
      <c r="C43" s="5" t="s">
        <v>47</v>
      </c>
      <c r="D43" s="5" t="s">
        <v>48</v>
      </c>
      <c r="E43" s="6" t="s">
        <v>18</v>
      </c>
      <c r="F43" s="7">
        <v>12</v>
      </c>
      <c r="G43" s="7">
        <v>40</v>
      </c>
      <c r="H43" s="6" t="s">
        <v>27</v>
      </c>
      <c r="I43" s="6" t="s">
        <v>20</v>
      </c>
      <c r="J43" s="6" t="s">
        <v>28</v>
      </c>
      <c r="K43" s="6" t="s">
        <v>29</v>
      </c>
      <c r="L43" s="6" t="s">
        <v>23</v>
      </c>
      <c r="M43" s="7">
        <v>217</v>
      </c>
      <c r="N43" s="6" t="s">
        <v>24</v>
      </c>
      <c r="O43" s="6">
        <v>1</v>
      </c>
    </row>
    <row r="44" spans="1:15" hidden="1" x14ac:dyDescent="0.25">
      <c r="A44" s="4">
        <v>5250</v>
      </c>
      <c r="B44" s="5" t="s">
        <v>49</v>
      </c>
      <c r="C44" s="5" t="s">
        <v>47</v>
      </c>
      <c r="D44" s="5" t="s">
        <v>48</v>
      </c>
      <c r="E44" s="6" t="s">
        <v>18</v>
      </c>
      <c r="F44" s="9">
        <v>12</v>
      </c>
      <c r="G44" s="9">
        <v>95</v>
      </c>
      <c r="H44" s="6" t="s">
        <v>19</v>
      </c>
      <c r="I44" s="6" t="s">
        <v>20</v>
      </c>
      <c r="J44" s="6" t="s">
        <v>28</v>
      </c>
      <c r="K44" s="6" t="s">
        <v>29</v>
      </c>
      <c r="L44" s="6" t="s">
        <v>23</v>
      </c>
      <c r="M44" s="7">
        <v>26</v>
      </c>
      <c r="N44" s="6" t="s">
        <v>24</v>
      </c>
      <c r="O44" s="6">
        <v>1</v>
      </c>
    </row>
    <row r="45" spans="1:15" hidden="1" x14ac:dyDescent="0.25">
      <c r="A45" s="4">
        <v>5250</v>
      </c>
      <c r="B45" s="5" t="s">
        <v>49</v>
      </c>
      <c r="C45" s="5" t="s">
        <v>47</v>
      </c>
      <c r="D45" s="5" t="s">
        <v>48</v>
      </c>
      <c r="E45" s="6" t="s">
        <v>18</v>
      </c>
      <c r="F45" s="9">
        <v>12</v>
      </c>
      <c r="G45" s="9">
        <v>95</v>
      </c>
      <c r="H45" s="6" t="s">
        <v>19</v>
      </c>
      <c r="I45" s="6" t="s">
        <v>30</v>
      </c>
      <c r="J45" s="6" t="s">
        <v>31</v>
      </c>
      <c r="K45" s="6" t="s">
        <v>32</v>
      </c>
      <c r="L45" s="6" t="s">
        <v>23</v>
      </c>
      <c r="M45" s="7">
        <v>4</v>
      </c>
      <c r="N45" s="6" t="s">
        <v>24</v>
      </c>
      <c r="O45" s="6">
        <v>1</v>
      </c>
    </row>
    <row r="46" spans="1:15" hidden="1" x14ac:dyDescent="0.25">
      <c r="A46" s="4">
        <v>5250</v>
      </c>
      <c r="B46" s="5" t="s">
        <v>49</v>
      </c>
      <c r="C46" s="5" t="s">
        <v>47</v>
      </c>
      <c r="D46" s="5" t="s">
        <v>48</v>
      </c>
      <c r="E46" s="6" t="s">
        <v>18</v>
      </c>
      <c r="F46" s="9">
        <v>12</v>
      </c>
      <c r="G46" s="9">
        <v>95</v>
      </c>
      <c r="H46" s="6" t="s">
        <v>27</v>
      </c>
      <c r="I46" s="6" t="s">
        <v>20</v>
      </c>
      <c r="J46" s="6" t="s">
        <v>28</v>
      </c>
      <c r="K46" s="6" t="s">
        <v>29</v>
      </c>
      <c r="L46" s="6" t="s">
        <v>23</v>
      </c>
      <c r="M46" s="7">
        <v>420</v>
      </c>
      <c r="N46" s="6" t="s">
        <v>24</v>
      </c>
      <c r="O46" s="6">
        <v>1</v>
      </c>
    </row>
    <row r="47" spans="1:15" hidden="1" x14ac:dyDescent="0.25">
      <c r="A47" s="4">
        <v>10457</v>
      </c>
      <c r="B47" s="5" t="s">
        <v>50</v>
      </c>
      <c r="C47" s="5" t="s">
        <v>47</v>
      </c>
      <c r="D47" s="5" t="s">
        <v>48</v>
      </c>
      <c r="E47" s="6" t="s">
        <v>18</v>
      </c>
      <c r="F47" s="9">
        <v>15</v>
      </c>
      <c r="G47" s="9">
        <v>45</v>
      </c>
      <c r="H47" s="6" t="s">
        <v>27</v>
      </c>
      <c r="I47" s="6" t="s">
        <v>20</v>
      </c>
      <c r="J47" s="6" t="s">
        <v>28</v>
      </c>
      <c r="K47" s="6" t="s">
        <v>29</v>
      </c>
      <c r="L47" s="6" t="s">
        <v>23</v>
      </c>
      <c r="M47" s="7">
        <v>305</v>
      </c>
      <c r="N47" s="6" t="s">
        <v>24</v>
      </c>
      <c r="O47" s="6">
        <v>1</v>
      </c>
    </row>
    <row r="48" spans="1:15" hidden="1" x14ac:dyDescent="0.25">
      <c r="A48" s="6">
        <v>10599</v>
      </c>
      <c r="B48" s="6" t="s">
        <v>51</v>
      </c>
      <c r="C48" s="5" t="s">
        <v>47</v>
      </c>
      <c r="D48" s="5" t="s">
        <v>52</v>
      </c>
      <c r="E48" s="6" t="s">
        <v>18</v>
      </c>
      <c r="F48" s="9">
        <v>15</v>
      </c>
      <c r="G48" s="9">
        <v>45</v>
      </c>
      <c r="H48" s="6" t="s">
        <v>27</v>
      </c>
      <c r="I48" s="6" t="s">
        <v>20</v>
      </c>
      <c r="J48" s="6" t="s">
        <v>28</v>
      </c>
      <c r="K48" s="6" t="s">
        <v>29</v>
      </c>
      <c r="L48" s="6" t="s">
        <v>23</v>
      </c>
      <c r="M48" s="7">
        <v>305</v>
      </c>
      <c r="N48" s="6" t="s">
        <v>24</v>
      </c>
      <c r="O48" s="6">
        <v>1</v>
      </c>
    </row>
    <row r="49" spans="1:15" hidden="1" x14ac:dyDescent="0.25">
      <c r="A49" s="4">
        <v>10604</v>
      </c>
      <c r="B49" s="5" t="s">
        <v>53</v>
      </c>
      <c r="C49" s="5" t="s">
        <v>47</v>
      </c>
      <c r="D49" s="5" t="s">
        <v>54</v>
      </c>
      <c r="E49" s="6" t="s">
        <v>18</v>
      </c>
      <c r="F49" s="9">
        <v>16</v>
      </c>
      <c r="G49" s="9">
        <v>95</v>
      </c>
      <c r="H49" s="6" t="s">
        <v>19</v>
      </c>
      <c r="I49" s="6" t="s">
        <v>20</v>
      </c>
      <c r="J49" s="6" t="s">
        <v>28</v>
      </c>
      <c r="K49" s="6" t="s">
        <v>29</v>
      </c>
      <c r="L49" s="6" t="s">
        <v>23</v>
      </c>
      <c r="M49" s="7">
        <v>26</v>
      </c>
      <c r="N49" s="6" t="s">
        <v>24</v>
      </c>
      <c r="O49" s="6">
        <v>1</v>
      </c>
    </row>
    <row r="50" spans="1:15" hidden="1" x14ac:dyDescent="0.25">
      <c r="A50" s="4">
        <v>10604</v>
      </c>
      <c r="B50" s="5" t="s">
        <v>53</v>
      </c>
      <c r="C50" s="5" t="s">
        <v>47</v>
      </c>
      <c r="D50" s="5" t="s">
        <v>54</v>
      </c>
      <c r="E50" s="6" t="s">
        <v>18</v>
      </c>
      <c r="F50" s="9">
        <v>16</v>
      </c>
      <c r="G50" s="9">
        <v>95</v>
      </c>
      <c r="H50" s="6" t="s">
        <v>19</v>
      </c>
      <c r="I50" s="6" t="s">
        <v>30</v>
      </c>
      <c r="J50" s="6" t="s">
        <v>31</v>
      </c>
      <c r="K50" s="6" t="s">
        <v>32</v>
      </c>
      <c r="L50" s="6" t="s">
        <v>23</v>
      </c>
      <c r="M50" s="7">
        <v>4</v>
      </c>
      <c r="N50" s="6" t="s">
        <v>24</v>
      </c>
      <c r="O50" s="6">
        <v>1</v>
      </c>
    </row>
    <row r="51" spans="1:15" hidden="1" x14ac:dyDescent="0.25">
      <c r="A51" s="4">
        <v>10604</v>
      </c>
      <c r="B51" s="5" t="s">
        <v>53</v>
      </c>
      <c r="C51" s="5" t="s">
        <v>47</v>
      </c>
      <c r="D51" s="5" t="s">
        <v>54</v>
      </c>
      <c r="E51" s="6" t="s">
        <v>18</v>
      </c>
      <c r="F51" s="9">
        <v>16</v>
      </c>
      <c r="G51" s="9">
        <v>95</v>
      </c>
      <c r="H51" s="6" t="s">
        <v>27</v>
      </c>
      <c r="I51" s="6" t="s">
        <v>20</v>
      </c>
      <c r="J51" s="6" t="s">
        <v>28</v>
      </c>
      <c r="K51" s="6" t="s">
        <v>29</v>
      </c>
      <c r="L51" s="6" t="s">
        <v>23</v>
      </c>
      <c r="M51" s="7">
        <v>420</v>
      </c>
      <c r="N51" s="6" t="s">
        <v>24</v>
      </c>
      <c r="O51" s="6">
        <v>1</v>
      </c>
    </row>
    <row r="52" spans="1:15" hidden="1" x14ac:dyDescent="0.25">
      <c r="A52" s="4">
        <v>10605</v>
      </c>
      <c r="B52" s="5" t="s">
        <v>55</v>
      </c>
      <c r="C52" s="5" t="s">
        <v>47</v>
      </c>
      <c r="D52" s="5" t="s">
        <v>54</v>
      </c>
      <c r="E52" s="6" t="s">
        <v>18</v>
      </c>
      <c r="F52" s="7">
        <v>12</v>
      </c>
      <c r="G52" s="7">
        <v>40</v>
      </c>
      <c r="H52" s="6" t="s">
        <v>19</v>
      </c>
      <c r="I52" s="6" t="s">
        <v>20</v>
      </c>
      <c r="J52" s="6" t="s">
        <v>28</v>
      </c>
      <c r="K52" s="6" t="s">
        <v>29</v>
      </c>
      <c r="L52" s="6" t="s">
        <v>23</v>
      </c>
      <c r="M52" s="7">
        <v>56</v>
      </c>
      <c r="N52" s="6" t="s">
        <v>24</v>
      </c>
      <c r="O52" s="6">
        <v>1</v>
      </c>
    </row>
    <row r="53" spans="1:15" hidden="1" x14ac:dyDescent="0.25">
      <c r="A53" s="4">
        <v>10605</v>
      </c>
      <c r="B53" s="5" t="s">
        <v>55</v>
      </c>
      <c r="C53" s="5" t="s">
        <v>47</v>
      </c>
      <c r="D53" s="5" t="s">
        <v>54</v>
      </c>
      <c r="E53" s="6" t="s">
        <v>18</v>
      </c>
      <c r="F53" s="7">
        <v>12</v>
      </c>
      <c r="G53" s="7">
        <v>40</v>
      </c>
      <c r="H53" s="6" t="s">
        <v>19</v>
      </c>
      <c r="I53" s="6" t="s">
        <v>30</v>
      </c>
      <c r="J53" s="6" t="s">
        <v>31</v>
      </c>
      <c r="K53" s="6" t="s">
        <v>32</v>
      </c>
      <c r="L53" s="6" t="s">
        <v>23</v>
      </c>
      <c r="M53" s="7">
        <v>8</v>
      </c>
      <c r="N53" s="6" t="s">
        <v>24</v>
      </c>
      <c r="O53" s="6">
        <v>1</v>
      </c>
    </row>
    <row r="54" spans="1:15" hidden="1" x14ac:dyDescent="0.25">
      <c r="A54" s="4">
        <v>10605</v>
      </c>
      <c r="B54" s="5" t="s">
        <v>55</v>
      </c>
      <c r="C54" s="5" t="s">
        <v>47</v>
      </c>
      <c r="D54" s="5" t="s">
        <v>54</v>
      </c>
      <c r="E54" s="6" t="s">
        <v>18</v>
      </c>
      <c r="F54" s="7">
        <v>12</v>
      </c>
      <c r="G54" s="7">
        <v>40</v>
      </c>
      <c r="H54" s="6" t="s">
        <v>27</v>
      </c>
      <c r="I54" s="6" t="s">
        <v>20</v>
      </c>
      <c r="J54" s="6" t="s">
        <v>28</v>
      </c>
      <c r="K54" s="6" t="s">
        <v>29</v>
      </c>
      <c r="L54" s="6" t="s">
        <v>23</v>
      </c>
      <c r="M54" s="7">
        <v>217</v>
      </c>
      <c r="N54" s="6" t="s">
        <v>24</v>
      </c>
      <c r="O54" s="6">
        <v>1</v>
      </c>
    </row>
    <row r="55" spans="1:15" hidden="1" x14ac:dyDescent="0.25">
      <c r="A55" s="5">
        <v>1280</v>
      </c>
      <c r="B55" s="5" t="s">
        <v>56</v>
      </c>
      <c r="C55" s="5" t="s">
        <v>57</v>
      </c>
      <c r="D55" s="5" t="s">
        <v>58</v>
      </c>
      <c r="E55" s="6" t="s">
        <v>18</v>
      </c>
      <c r="F55" s="9">
        <v>20</v>
      </c>
      <c r="G55" s="9">
        <v>1</v>
      </c>
      <c r="H55" s="6" t="s">
        <v>19</v>
      </c>
      <c r="I55" s="6" t="s">
        <v>30</v>
      </c>
      <c r="J55" s="6" t="s">
        <v>31</v>
      </c>
      <c r="K55" s="6" t="s">
        <v>43</v>
      </c>
      <c r="L55" s="6" t="s">
        <v>23</v>
      </c>
      <c r="M55" s="7">
        <v>16</v>
      </c>
      <c r="N55" s="6" t="s">
        <v>24</v>
      </c>
      <c r="O55" s="6">
        <v>1</v>
      </c>
    </row>
    <row r="56" spans="1:15" hidden="1" x14ac:dyDescent="0.25">
      <c r="A56" s="5">
        <v>1280</v>
      </c>
      <c r="B56" s="5" t="s">
        <v>56</v>
      </c>
      <c r="C56" s="5" t="s">
        <v>57</v>
      </c>
      <c r="D56" s="5" t="s">
        <v>58</v>
      </c>
      <c r="E56" s="6" t="s">
        <v>18</v>
      </c>
      <c r="F56" s="9">
        <v>20</v>
      </c>
      <c r="G56" s="9">
        <v>1</v>
      </c>
      <c r="H56" s="6" t="s">
        <v>27</v>
      </c>
      <c r="I56" s="6" t="s">
        <v>20</v>
      </c>
      <c r="J56" s="6" t="s">
        <v>28</v>
      </c>
      <c r="K56" s="6" t="s">
        <v>29</v>
      </c>
      <c r="L56" s="6" t="s">
        <v>23</v>
      </c>
      <c r="M56" s="7">
        <v>175</v>
      </c>
      <c r="N56" s="6" t="s">
        <v>24</v>
      </c>
      <c r="O56" s="6">
        <v>1</v>
      </c>
    </row>
    <row r="57" spans="1:15" hidden="1" x14ac:dyDescent="0.25">
      <c r="A57" s="4">
        <v>1300</v>
      </c>
      <c r="B57" s="5" t="s">
        <v>59</v>
      </c>
      <c r="C57" s="5" t="s">
        <v>57</v>
      </c>
      <c r="D57" s="5" t="s">
        <v>58</v>
      </c>
      <c r="E57" s="6" t="s">
        <v>18</v>
      </c>
      <c r="F57" s="9">
        <v>40</v>
      </c>
      <c r="G57" s="9">
        <v>1</v>
      </c>
      <c r="H57" s="6" t="s">
        <v>19</v>
      </c>
      <c r="I57" s="6" t="s">
        <v>20</v>
      </c>
      <c r="J57" s="6" t="s">
        <v>28</v>
      </c>
      <c r="K57" s="6" t="s">
        <v>29</v>
      </c>
      <c r="L57" s="6" t="s">
        <v>23</v>
      </c>
      <c r="M57" s="7">
        <v>25</v>
      </c>
      <c r="N57" s="6" t="s">
        <v>24</v>
      </c>
      <c r="O57" s="6">
        <v>1</v>
      </c>
    </row>
    <row r="58" spans="1:15" hidden="1" x14ac:dyDescent="0.25">
      <c r="A58" s="4">
        <v>1300</v>
      </c>
      <c r="B58" s="5" t="s">
        <v>59</v>
      </c>
      <c r="C58" s="5" t="s">
        <v>57</v>
      </c>
      <c r="D58" s="5" t="s">
        <v>58</v>
      </c>
      <c r="E58" s="6" t="s">
        <v>18</v>
      </c>
      <c r="F58" s="9">
        <v>40</v>
      </c>
      <c r="G58" s="9">
        <v>1</v>
      </c>
      <c r="H58" s="6" t="s">
        <v>27</v>
      </c>
      <c r="I58" s="6" t="s">
        <v>20</v>
      </c>
      <c r="J58" s="6" t="s">
        <v>28</v>
      </c>
      <c r="K58" s="6" t="s">
        <v>29</v>
      </c>
      <c r="L58" s="6" t="s">
        <v>23</v>
      </c>
      <c r="M58" s="7">
        <v>500</v>
      </c>
      <c r="N58" s="6" t="s">
        <v>24</v>
      </c>
      <c r="O58" s="6">
        <v>1</v>
      </c>
    </row>
    <row r="59" spans="1:15" hidden="1" x14ac:dyDescent="0.25">
      <c r="A59" s="5">
        <v>1250</v>
      </c>
      <c r="B59" s="5" t="s">
        <v>60</v>
      </c>
      <c r="C59" s="5" t="s">
        <v>57</v>
      </c>
      <c r="D59" s="5" t="s">
        <v>58</v>
      </c>
      <c r="E59" s="6" t="s">
        <v>18</v>
      </c>
      <c r="F59" s="9">
        <v>24</v>
      </c>
      <c r="G59" s="9">
        <v>80</v>
      </c>
      <c r="H59" s="6" t="s">
        <v>19</v>
      </c>
      <c r="I59" s="6" t="s">
        <v>20</v>
      </c>
      <c r="J59" s="6" t="s">
        <v>28</v>
      </c>
      <c r="K59" s="6" t="s">
        <v>29</v>
      </c>
      <c r="L59" s="6" t="s">
        <v>23</v>
      </c>
      <c r="M59" s="7">
        <v>25</v>
      </c>
      <c r="N59" s="6" t="s">
        <v>24</v>
      </c>
      <c r="O59" s="6">
        <v>1</v>
      </c>
    </row>
    <row r="60" spans="1:15" hidden="1" x14ac:dyDescent="0.25">
      <c r="A60" s="5">
        <v>1250</v>
      </c>
      <c r="B60" s="5" t="s">
        <v>60</v>
      </c>
      <c r="C60" s="5" t="s">
        <v>57</v>
      </c>
      <c r="D60" s="5" t="s">
        <v>58</v>
      </c>
      <c r="E60" s="6" t="s">
        <v>18</v>
      </c>
      <c r="F60" s="9">
        <v>24</v>
      </c>
      <c r="G60" s="9">
        <v>80</v>
      </c>
      <c r="H60" s="6" t="s">
        <v>19</v>
      </c>
      <c r="I60" s="6" t="s">
        <v>20</v>
      </c>
      <c r="J60" s="6" t="s">
        <v>28</v>
      </c>
      <c r="K60" s="6" t="s">
        <v>61</v>
      </c>
      <c r="L60" s="6" t="s">
        <v>23</v>
      </c>
      <c r="M60" s="7">
        <v>37</v>
      </c>
      <c r="N60" s="6" t="s">
        <v>24</v>
      </c>
      <c r="O60" s="6">
        <v>1</v>
      </c>
    </row>
    <row r="61" spans="1:15" hidden="1" x14ac:dyDescent="0.25">
      <c r="A61" s="5">
        <v>1250</v>
      </c>
      <c r="B61" s="5" t="s">
        <v>60</v>
      </c>
      <c r="C61" s="5" t="s">
        <v>57</v>
      </c>
      <c r="D61" s="5" t="s">
        <v>58</v>
      </c>
      <c r="E61" s="6" t="s">
        <v>18</v>
      </c>
      <c r="F61" s="9">
        <v>24</v>
      </c>
      <c r="G61" s="9">
        <v>80</v>
      </c>
      <c r="H61" s="6" t="s">
        <v>27</v>
      </c>
      <c r="I61" s="6" t="s">
        <v>20</v>
      </c>
      <c r="J61" s="6" t="s">
        <v>28</v>
      </c>
      <c r="K61" s="6" t="s">
        <v>29</v>
      </c>
      <c r="L61" s="6" t="s">
        <v>23</v>
      </c>
      <c r="M61" s="7">
        <v>250</v>
      </c>
      <c r="N61" s="6" t="s">
        <v>24</v>
      </c>
      <c r="O61" s="6">
        <v>1</v>
      </c>
    </row>
    <row r="62" spans="1:15" hidden="1" x14ac:dyDescent="0.25">
      <c r="A62" s="4">
        <v>10165</v>
      </c>
      <c r="B62" s="5" t="s">
        <v>62</v>
      </c>
      <c r="C62" s="5" t="s">
        <v>57</v>
      </c>
      <c r="D62" s="5" t="s">
        <v>63</v>
      </c>
      <c r="E62" s="6" t="s">
        <v>18</v>
      </c>
      <c r="F62" s="9">
        <v>10</v>
      </c>
      <c r="G62" s="9">
        <v>180</v>
      </c>
      <c r="H62" s="6" t="s">
        <v>19</v>
      </c>
      <c r="I62" s="6" t="s">
        <v>30</v>
      </c>
      <c r="J62" s="6" t="s">
        <v>31</v>
      </c>
      <c r="K62" s="6" t="s">
        <v>32</v>
      </c>
      <c r="L62" s="6" t="s">
        <v>23</v>
      </c>
      <c r="M62" s="7">
        <v>14.68</v>
      </c>
      <c r="N62" s="6" t="s">
        <v>24</v>
      </c>
      <c r="O62" s="6">
        <v>1</v>
      </c>
    </row>
    <row r="63" spans="1:15" hidden="1" x14ac:dyDescent="0.25">
      <c r="A63" s="4">
        <v>10165</v>
      </c>
      <c r="B63" s="5" t="s">
        <v>62</v>
      </c>
      <c r="C63" s="5" t="s">
        <v>57</v>
      </c>
      <c r="D63" s="5" t="s">
        <v>63</v>
      </c>
      <c r="E63" s="6" t="s">
        <v>18</v>
      </c>
      <c r="F63" s="9">
        <v>10</v>
      </c>
      <c r="G63" s="9">
        <v>180</v>
      </c>
      <c r="H63" s="6" t="s">
        <v>27</v>
      </c>
      <c r="I63" s="6" t="s">
        <v>30</v>
      </c>
      <c r="J63" s="6" t="s">
        <v>31</v>
      </c>
      <c r="K63" s="6" t="s">
        <v>32</v>
      </c>
      <c r="L63" s="6" t="s">
        <v>23</v>
      </c>
      <c r="M63" s="7">
        <v>56.5</v>
      </c>
      <c r="N63" s="6" t="s">
        <v>24</v>
      </c>
      <c r="O63" s="6">
        <v>1</v>
      </c>
    </row>
    <row r="64" spans="1:15" hidden="1" x14ac:dyDescent="0.25">
      <c r="A64" s="4">
        <v>10592</v>
      </c>
      <c r="B64" s="5" t="s">
        <v>64</v>
      </c>
      <c r="C64" s="5" t="s">
        <v>57</v>
      </c>
      <c r="D64" s="5" t="s">
        <v>58</v>
      </c>
      <c r="E64" s="6" t="s">
        <v>18</v>
      </c>
      <c r="F64" s="9">
        <v>20</v>
      </c>
      <c r="G64" s="9">
        <v>1</v>
      </c>
      <c r="H64" s="6" t="s">
        <v>19</v>
      </c>
      <c r="I64" s="6" t="s">
        <v>20</v>
      </c>
      <c r="J64" s="6" t="s">
        <v>28</v>
      </c>
      <c r="K64" s="6" t="s">
        <v>29</v>
      </c>
      <c r="L64" s="6" t="s">
        <v>23</v>
      </c>
      <c r="M64" s="7">
        <v>12.5</v>
      </c>
      <c r="N64" s="6" t="s">
        <v>24</v>
      </c>
      <c r="O64" s="6">
        <v>1</v>
      </c>
    </row>
    <row r="65" spans="1:15" hidden="1" x14ac:dyDescent="0.25">
      <c r="A65" s="4">
        <v>10592</v>
      </c>
      <c r="B65" s="5" t="s">
        <v>64</v>
      </c>
      <c r="C65" s="5" t="s">
        <v>57</v>
      </c>
      <c r="D65" s="5" t="s">
        <v>58</v>
      </c>
      <c r="E65" s="6" t="s">
        <v>18</v>
      </c>
      <c r="F65" s="9">
        <v>20</v>
      </c>
      <c r="G65" s="9">
        <v>1</v>
      </c>
      <c r="H65" s="6" t="s">
        <v>27</v>
      </c>
      <c r="I65" s="6" t="s">
        <v>20</v>
      </c>
      <c r="J65" s="6" t="s">
        <v>28</v>
      </c>
      <c r="K65" s="6" t="s">
        <v>29</v>
      </c>
      <c r="L65" s="6" t="s">
        <v>23</v>
      </c>
      <c r="M65" s="7">
        <v>450</v>
      </c>
      <c r="N65" s="6" t="s">
        <v>24</v>
      </c>
      <c r="O65" s="6">
        <v>1</v>
      </c>
    </row>
    <row r="66" spans="1:15" hidden="1" x14ac:dyDescent="0.25">
      <c r="A66" s="4">
        <v>10050</v>
      </c>
      <c r="B66" s="5" t="s">
        <v>65</v>
      </c>
      <c r="C66" s="5" t="s">
        <v>66</v>
      </c>
      <c r="D66" s="5" t="s">
        <v>67</v>
      </c>
      <c r="E66" s="5" t="s">
        <v>18</v>
      </c>
      <c r="F66" s="7">
        <v>12</v>
      </c>
      <c r="G66" s="7">
        <v>68</v>
      </c>
      <c r="H66" s="8" t="s">
        <v>19</v>
      </c>
      <c r="I66" s="6" t="s">
        <v>68</v>
      </c>
      <c r="J66" s="6" t="s">
        <v>69</v>
      </c>
      <c r="K66" s="6" t="s">
        <v>70</v>
      </c>
      <c r="L66" s="6" t="s">
        <v>23</v>
      </c>
      <c r="M66" s="7">
        <v>17</v>
      </c>
      <c r="N66" s="6" t="s">
        <v>24</v>
      </c>
      <c r="O66" s="6">
        <v>1</v>
      </c>
    </row>
    <row r="67" spans="1:15" hidden="1" x14ac:dyDescent="0.25">
      <c r="A67" s="4">
        <v>10050</v>
      </c>
      <c r="B67" s="5" t="s">
        <v>65</v>
      </c>
      <c r="C67" s="5" t="s">
        <v>66</v>
      </c>
      <c r="D67" s="5" t="s">
        <v>67</v>
      </c>
      <c r="E67" s="5" t="s">
        <v>18</v>
      </c>
      <c r="F67" s="7">
        <v>12</v>
      </c>
      <c r="G67" s="7">
        <v>68</v>
      </c>
      <c r="H67" s="8" t="s">
        <v>19</v>
      </c>
      <c r="I67" s="6" t="s">
        <v>68</v>
      </c>
      <c r="J67" s="6" t="s">
        <v>71</v>
      </c>
      <c r="K67" s="6" t="s">
        <v>70</v>
      </c>
      <c r="L67" s="6" t="s">
        <v>23</v>
      </c>
      <c r="M67" s="7">
        <v>10.199999999999999</v>
      </c>
      <c r="N67" s="6" t="s">
        <v>24</v>
      </c>
      <c r="O67" s="6">
        <v>1</v>
      </c>
    </row>
    <row r="68" spans="1:15" hidden="1" x14ac:dyDescent="0.25">
      <c r="A68" s="4">
        <v>10050</v>
      </c>
      <c r="B68" s="5" t="s">
        <v>65</v>
      </c>
      <c r="C68" s="5" t="s">
        <v>66</v>
      </c>
      <c r="D68" s="5" t="s">
        <v>67</v>
      </c>
      <c r="E68" s="5" t="s">
        <v>18</v>
      </c>
      <c r="F68" s="7">
        <v>12</v>
      </c>
      <c r="G68" s="7">
        <v>68</v>
      </c>
      <c r="H68" s="8" t="s">
        <v>19</v>
      </c>
      <c r="I68" s="6" t="s">
        <v>68</v>
      </c>
      <c r="J68" s="6" t="s">
        <v>72</v>
      </c>
      <c r="K68" s="6" t="s">
        <v>70</v>
      </c>
      <c r="L68" s="6" t="s">
        <v>23</v>
      </c>
      <c r="M68" s="7">
        <v>6.8000000000000007</v>
      </c>
      <c r="N68" s="6" t="s">
        <v>24</v>
      </c>
      <c r="O68" s="6">
        <v>1</v>
      </c>
    </row>
    <row r="69" spans="1:15" hidden="1" x14ac:dyDescent="0.25">
      <c r="A69" s="4">
        <v>10050</v>
      </c>
      <c r="B69" s="5" t="s">
        <v>65</v>
      </c>
      <c r="C69" s="5" t="s">
        <v>66</v>
      </c>
      <c r="D69" s="5" t="s">
        <v>67</v>
      </c>
      <c r="E69" s="5" t="s">
        <v>18</v>
      </c>
      <c r="F69" s="7">
        <v>12</v>
      </c>
      <c r="G69" s="7">
        <v>68</v>
      </c>
      <c r="H69" s="8" t="s">
        <v>19</v>
      </c>
      <c r="I69" s="6" t="s">
        <v>30</v>
      </c>
      <c r="J69" s="8" t="s">
        <v>73</v>
      </c>
      <c r="K69" s="6" t="s">
        <v>74</v>
      </c>
      <c r="L69" s="6" t="s">
        <v>23</v>
      </c>
      <c r="M69" s="7">
        <v>3</v>
      </c>
      <c r="N69" s="6" t="s">
        <v>24</v>
      </c>
      <c r="O69" s="6">
        <v>1</v>
      </c>
    </row>
    <row r="70" spans="1:15" hidden="1" x14ac:dyDescent="0.25">
      <c r="A70" s="4">
        <v>10050</v>
      </c>
      <c r="B70" s="5" t="s">
        <v>65</v>
      </c>
      <c r="C70" s="5" t="s">
        <v>66</v>
      </c>
      <c r="D70" s="5" t="s">
        <v>67</v>
      </c>
      <c r="E70" s="5" t="s">
        <v>18</v>
      </c>
      <c r="F70" s="7">
        <v>12</v>
      </c>
      <c r="G70" s="7">
        <v>68</v>
      </c>
      <c r="H70" s="8" t="s">
        <v>27</v>
      </c>
      <c r="I70" s="8" t="s">
        <v>20</v>
      </c>
      <c r="J70" s="8" t="s">
        <v>28</v>
      </c>
      <c r="K70" s="6" t="s">
        <v>29</v>
      </c>
      <c r="L70" s="6" t="s">
        <v>23</v>
      </c>
      <c r="M70" s="7">
        <v>180</v>
      </c>
      <c r="N70" s="6" t="s">
        <v>24</v>
      </c>
      <c r="O70" s="6">
        <v>1</v>
      </c>
    </row>
    <row r="71" spans="1:15" hidden="1" x14ac:dyDescent="0.25">
      <c r="A71" s="4">
        <v>10051</v>
      </c>
      <c r="B71" s="5" t="s">
        <v>75</v>
      </c>
      <c r="C71" s="5" t="s">
        <v>66</v>
      </c>
      <c r="D71" s="5" t="s">
        <v>67</v>
      </c>
      <c r="E71" s="5" t="s">
        <v>18</v>
      </c>
      <c r="F71" s="7">
        <v>12</v>
      </c>
      <c r="G71" s="7">
        <v>68</v>
      </c>
      <c r="H71" s="8" t="s">
        <v>19</v>
      </c>
      <c r="I71" s="6" t="s">
        <v>68</v>
      </c>
      <c r="J71" s="6" t="s">
        <v>69</v>
      </c>
      <c r="K71" s="6" t="s">
        <v>70</v>
      </c>
      <c r="L71" s="6" t="s">
        <v>23</v>
      </c>
      <c r="M71" s="7">
        <v>17</v>
      </c>
      <c r="N71" s="6" t="s">
        <v>24</v>
      </c>
      <c r="O71" s="6">
        <v>1</v>
      </c>
    </row>
    <row r="72" spans="1:15" hidden="1" x14ac:dyDescent="0.25">
      <c r="A72" s="4">
        <v>10051</v>
      </c>
      <c r="B72" s="5" t="s">
        <v>75</v>
      </c>
      <c r="C72" s="5" t="s">
        <v>66</v>
      </c>
      <c r="D72" s="5" t="s">
        <v>67</v>
      </c>
      <c r="E72" s="5" t="s">
        <v>18</v>
      </c>
      <c r="F72" s="7">
        <v>12</v>
      </c>
      <c r="G72" s="7">
        <v>68</v>
      </c>
      <c r="H72" s="8" t="s">
        <v>19</v>
      </c>
      <c r="I72" s="6" t="s">
        <v>68</v>
      </c>
      <c r="J72" s="6" t="s">
        <v>71</v>
      </c>
      <c r="K72" s="6" t="s">
        <v>70</v>
      </c>
      <c r="L72" s="6" t="s">
        <v>23</v>
      </c>
      <c r="M72" s="7">
        <v>10.199999999999999</v>
      </c>
      <c r="N72" s="6" t="s">
        <v>24</v>
      </c>
      <c r="O72" s="6">
        <v>1</v>
      </c>
    </row>
    <row r="73" spans="1:15" hidden="1" x14ac:dyDescent="0.25">
      <c r="A73" s="4">
        <v>10051</v>
      </c>
      <c r="B73" s="5" t="s">
        <v>75</v>
      </c>
      <c r="C73" s="5" t="s">
        <v>66</v>
      </c>
      <c r="D73" s="5" t="s">
        <v>67</v>
      </c>
      <c r="E73" s="5" t="s">
        <v>18</v>
      </c>
      <c r="F73" s="7">
        <v>12</v>
      </c>
      <c r="G73" s="7">
        <v>68</v>
      </c>
      <c r="H73" s="8" t="s">
        <v>19</v>
      </c>
      <c r="I73" s="6" t="s">
        <v>68</v>
      </c>
      <c r="J73" s="6" t="s">
        <v>72</v>
      </c>
      <c r="K73" s="6" t="s">
        <v>70</v>
      </c>
      <c r="L73" s="6" t="s">
        <v>23</v>
      </c>
      <c r="M73" s="7">
        <v>6.8000000000000007</v>
      </c>
      <c r="N73" s="6" t="s">
        <v>24</v>
      </c>
      <c r="O73" s="6">
        <v>1</v>
      </c>
    </row>
    <row r="74" spans="1:15" hidden="1" x14ac:dyDescent="0.25">
      <c r="A74" s="4">
        <v>10051</v>
      </c>
      <c r="B74" s="5" t="s">
        <v>75</v>
      </c>
      <c r="C74" s="5" t="s">
        <v>66</v>
      </c>
      <c r="D74" s="5" t="s">
        <v>67</v>
      </c>
      <c r="E74" s="5" t="s">
        <v>18</v>
      </c>
      <c r="F74" s="7">
        <v>12</v>
      </c>
      <c r="G74" s="7">
        <v>68</v>
      </c>
      <c r="H74" s="8" t="s">
        <v>19</v>
      </c>
      <c r="I74" s="6" t="s">
        <v>30</v>
      </c>
      <c r="J74" s="8" t="s">
        <v>73</v>
      </c>
      <c r="K74" s="6" t="s">
        <v>74</v>
      </c>
      <c r="L74" s="6" t="s">
        <v>23</v>
      </c>
      <c r="M74" s="7">
        <v>3</v>
      </c>
      <c r="N74" s="6" t="s">
        <v>24</v>
      </c>
      <c r="O74" s="6">
        <v>1</v>
      </c>
    </row>
    <row r="75" spans="1:15" hidden="1" x14ac:dyDescent="0.25">
      <c r="A75" s="4">
        <v>10051</v>
      </c>
      <c r="B75" s="5" t="s">
        <v>75</v>
      </c>
      <c r="C75" s="5" t="s">
        <v>66</v>
      </c>
      <c r="D75" s="5" t="s">
        <v>67</v>
      </c>
      <c r="E75" s="5" t="s">
        <v>18</v>
      </c>
      <c r="F75" s="7">
        <v>12</v>
      </c>
      <c r="G75" s="7">
        <v>68</v>
      </c>
      <c r="H75" s="8" t="s">
        <v>27</v>
      </c>
      <c r="I75" s="8" t="s">
        <v>20</v>
      </c>
      <c r="J75" s="8" t="s">
        <v>28</v>
      </c>
      <c r="K75" s="6" t="s">
        <v>29</v>
      </c>
      <c r="L75" s="6" t="s">
        <v>23</v>
      </c>
      <c r="M75" s="7">
        <v>180</v>
      </c>
      <c r="N75" s="6" t="s">
        <v>24</v>
      </c>
      <c r="O75" s="6">
        <v>1</v>
      </c>
    </row>
    <row r="76" spans="1:15" hidden="1" x14ac:dyDescent="0.25">
      <c r="A76" s="4">
        <v>10052</v>
      </c>
      <c r="B76" s="5" t="s">
        <v>76</v>
      </c>
      <c r="C76" s="5" t="s">
        <v>66</v>
      </c>
      <c r="D76" s="5" t="s">
        <v>67</v>
      </c>
      <c r="E76" s="5" t="s">
        <v>18</v>
      </c>
      <c r="F76" s="7">
        <v>12</v>
      </c>
      <c r="G76" s="7">
        <v>68</v>
      </c>
      <c r="H76" s="8" t="s">
        <v>19</v>
      </c>
      <c r="I76" s="6" t="s">
        <v>68</v>
      </c>
      <c r="J76" s="6" t="s">
        <v>69</v>
      </c>
      <c r="K76" s="6" t="s">
        <v>70</v>
      </c>
      <c r="L76" s="6" t="s">
        <v>23</v>
      </c>
      <c r="M76" s="7">
        <v>17</v>
      </c>
      <c r="N76" s="6" t="s">
        <v>24</v>
      </c>
      <c r="O76" s="6">
        <v>1</v>
      </c>
    </row>
    <row r="77" spans="1:15" hidden="1" x14ac:dyDescent="0.25">
      <c r="A77" s="4">
        <v>10052</v>
      </c>
      <c r="B77" s="5" t="s">
        <v>76</v>
      </c>
      <c r="C77" s="5" t="s">
        <v>66</v>
      </c>
      <c r="D77" s="5" t="s">
        <v>67</v>
      </c>
      <c r="E77" s="5" t="s">
        <v>18</v>
      </c>
      <c r="F77" s="7">
        <v>12</v>
      </c>
      <c r="G77" s="7">
        <v>68</v>
      </c>
      <c r="H77" s="8" t="s">
        <v>19</v>
      </c>
      <c r="I77" s="6" t="s">
        <v>68</v>
      </c>
      <c r="J77" s="6" t="s">
        <v>71</v>
      </c>
      <c r="K77" s="6" t="s">
        <v>70</v>
      </c>
      <c r="L77" s="6" t="s">
        <v>23</v>
      </c>
      <c r="M77" s="7">
        <v>10.199999999999999</v>
      </c>
      <c r="N77" s="6" t="s">
        <v>24</v>
      </c>
      <c r="O77" s="6">
        <v>1</v>
      </c>
    </row>
    <row r="78" spans="1:15" hidden="1" x14ac:dyDescent="0.25">
      <c r="A78" s="4">
        <v>10052</v>
      </c>
      <c r="B78" s="5" t="s">
        <v>76</v>
      </c>
      <c r="C78" s="5" t="s">
        <v>66</v>
      </c>
      <c r="D78" s="5" t="s">
        <v>67</v>
      </c>
      <c r="E78" s="5" t="s">
        <v>18</v>
      </c>
      <c r="F78" s="7">
        <v>12</v>
      </c>
      <c r="G78" s="7">
        <v>68</v>
      </c>
      <c r="H78" s="8" t="s">
        <v>19</v>
      </c>
      <c r="I78" s="6" t="s">
        <v>68</v>
      </c>
      <c r="J78" s="6" t="s">
        <v>72</v>
      </c>
      <c r="K78" s="6" t="s">
        <v>70</v>
      </c>
      <c r="L78" s="6" t="s">
        <v>23</v>
      </c>
      <c r="M78" s="7">
        <v>6.8000000000000007</v>
      </c>
      <c r="N78" s="6" t="s">
        <v>24</v>
      </c>
      <c r="O78" s="6">
        <v>1</v>
      </c>
    </row>
    <row r="79" spans="1:15" hidden="1" x14ac:dyDescent="0.25">
      <c r="A79" s="4">
        <v>10052</v>
      </c>
      <c r="B79" s="5" t="s">
        <v>76</v>
      </c>
      <c r="C79" s="5" t="s">
        <v>66</v>
      </c>
      <c r="D79" s="5" t="s">
        <v>67</v>
      </c>
      <c r="E79" s="5" t="s">
        <v>18</v>
      </c>
      <c r="F79" s="7">
        <v>12</v>
      </c>
      <c r="G79" s="7">
        <v>68</v>
      </c>
      <c r="H79" s="8" t="s">
        <v>19</v>
      </c>
      <c r="I79" s="6" t="s">
        <v>30</v>
      </c>
      <c r="J79" s="8" t="s">
        <v>73</v>
      </c>
      <c r="K79" s="6" t="s">
        <v>74</v>
      </c>
      <c r="L79" s="6" t="s">
        <v>23</v>
      </c>
      <c r="M79" s="7">
        <v>3</v>
      </c>
      <c r="N79" s="6" t="s">
        <v>24</v>
      </c>
      <c r="O79" s="6">
        <v>1</v>
      </c>
    </row>
    <row r="80" spans="1:15" hidden="1" x14ac:dyDescent="0.25">
      <c r="A80" s="4">
        <v>10052</v>
      </c>
      <c r="B80" s="5" t="s">
        <v>76</v>
      </c>
      <c r="C80" s="5" t="s">
        <v>66</v>
      </c>
      <c r="D80" s="5" t="s">
        <v>67</v>
      </c>
      <c r="E80" s="5" t="s">
        <v>18</v>
      </c>
      <c r="F80" s="7">
        <v>12</v>
      </c>
      <c r="G80" s="7">
        <v>68</v>
      </c>
      <c r="H80" s="8" t="s">
        <v>27</v>
      </c>
      <c r="I80" s="8" t="s">
        <v>20</v>
      </c>
      <c r="J80" s="8" t="s">
        <v>28</v>
      </c>
      <c r="K80" s="6" t="s">
        <v>29</v>
      </c>
      <c r="L80" s="6" t="s">
        <v>23</v>
      </c>
      <c r="M80" s="7">
        <v>180</v>
      </c>
      <c r="N80" s="6" t="s">
        <v>24</v>
      </c>
      <c r="O80" s="6">
        <v>1</v>
      </c>
    </row>
    <row r="81" spans="1:15" hidden="1" x14ac:dyDescent="0.25">
      <c r="A81" s="4">
        <v>10026</v>
      </c>
      <c r="B81" s="5" t="s">
        <v>77</v>
      </c>
      <c r="C81" s="5" t="s">
        <v>78</v>
      </c>
      <c r="D81" s="5" t="s">
        <v>37</v>
      </c>
      <c r="E81" s="6" t="s">
        <v>18</v>
      </c>
      <c r="F81" s="9">
        <v>12</v>
      </c>
      <c r="G81" s="9">
        <v>140</v>
      </c>
      <c r="H81" s="6" t="s">
        <v>19</v>
      </c>
      <c r="I81" s="6" t="s">
        <v>30</v>
      </c>
      <c r="J81" s="6" t="s">
        <v>31</v>
      </c>
      <c r="K81" s="6" t="s">
        <v>32</v>
      </c>
      <c r="L81" s="6" t="s">
        <v>23</v>
      </c>
      <c r="M81" s="7">
        <v>5.5</v>
      </c>
      <c r="N81" s="6" t="s">
        <v>24</v>
      </c>
      <c r="O81" s="6">
        <v>1</v>
      </c>
    </row>
    <row r="82" spans="1:15" hidden="1" x14ac:dyDescent="0.25">
      <c r="A82" s="4">
        <v>10026</v>
      </c>
      <c r="B82" s="5" t="s">
        <v>77</v>
      </c>
      <c r="C82" s="5" t="s">
        <v>78</v>
      </c>
      <c r="D82" s="5" t="s">
        <v>37</v>
      </c>
      <c r="E82" s="6" t="s">
        <v>18</v>
      </c>
      <c r="F82" s="9">
        <v>12</v>
      </c>
      <c r="G82" s="9">
        <v>140</v>
      </c>
      <c r="H82" s="6" t="s">
        <v>27</v>
      </c>
      <c r="I82" s="6" t="s">
        <v>20</v>
      </c>
      <c r="J82" s="6" t="s">
        <v>28</v>
      </c>
      <c r="K82" s="6" t="s">
        <v>29</v>
      </c>
      <c r="L82" s="6" t="s">
        <v>23</v>
      </c>
      <c r="M82" s="7">
        <v>130</v>
      </c>
      <c r="N82" s="6" t="s">
        <v>24</v>
      </c>
      <c r="O82" s="6">
        <v>1</v>
      </c>
    </row>
    <row r="83" spans="1:15" hidden="1" x14ac:dyDescent="0.25">
      <c r="A83" s="4">
        <v>10026</v>
      </c>
      <c r="B83" s="5" t="s">
        <v>77</v>
      </c>
      <c r="C83" s="5" t="s">
        <v>78</v>
      </c>
      <c r="D83" s="5" t="s">
        <v>37</v>
      </c>
      <c r="E83" s="6" t="s">
        <v>18</v>
      </c>
      <c r="F83" s="9">
        <v>12</v>
      </c>
      <c r="G83" s="9">
        <v>140</v>
      </c>
      <c r="H83" s="6" t="s">
        <v>38</v>
      </c>
      <c r="I83" s="6" t="s">
        <v>30</v>
      </c>
      <c r="J83" s="6" t="s">
        <v>31</v>
      </c>
      <c r="K83" s="6" t="s">
        <v>32</v>
      </c>
      <c r="L83" s="6" t="s">
        <v>23</v>
      </c>
      <c r="M83" s="7">
        <v>200</v>
      </c>
      <c r="N83" s="6" t="s">
        <v>24</v>
      </c>
      <c r="O83" s="6">
        <v>1</v>
      </c>
    </row>
    <row r="84" spans="1:15" hidden="1" x14ac:dyDescent="0.25">
      <c r="A84" s="4">
        <v>10027</v>
      </c>
      <c r="B84" s="5" t="s">
        <v>79</v>
      </c>
      <c r="C84" s="5" t="s">
        <v>78</v>
      </c>
      <c r="D84" s="5" t="s">
        <v>37</v>
      </c>
      <c r="E84" s="6" t="s">
        <v>18</v>
      </c>
      <c r="F84" s="9">
        <v>12</v>
      </c>
      <c r="G84" s="9">
        <v>54</v>
      </c>
      <c r="H84" s="6" t="s">
        <v>19</v>
      </c>
      <c r="I84" s="6" t="s">
        <v>30</v>
      </c>
      <c r="J84" s="6" t="s">
        <v>31</v>
      </c>
      <c r="K84" s="6" t="s">
        <v>32</v>
      </c>
      <c r="L84" s="6" t="s">
        <v>23</v>
      </c>
      <c r="M84" s="7">
        <v>8</v>
      </c>
      <c r="N84" s="6" t="s">
        <v>24</v>
      </c>
      <c r="O84" s="6">
        <v>1</v>
      </c>
    </row>
    <row r="85" spans="1:15" hidden="1" x14ac:dyDescent="0.25">
      <c r="A85" s="4">
        <v>10027</v>
      </c>
      <c r="B85" s="5" t="s">
        <v>79</v>
      </c>
      <c r="C85" s="5" t="s">
        <v>78</v>
      </c>
      <c r="D85" s="5" t="s">
        <v>37</v>
      </c>
      <c r="E85" s="6" t="s">
        <v>18</v>
      </c>
      <c r="F85" s="9">
        <v>12</v>
      </c>
      <c r="G85" s="9">
        <v>54</v>
      </c>
      <c r="H85" s="6" t="s">
        <v>27</v>
      </c>
      <c r="I85" s="6" t="s">
        <v>20</v>
      </c>
      <c r="J85" s="6" t="s">
        <v>28</v>
      </c>
      <c r="K85" s="6" t="s">
        <v>29</v>
      </c>
      <c r="L85" s="6" t="s">
        <v>23</v>
      </c>
      <c r="M85" s="7">
        <v>120</v>
      </c>
      <c r="N85" s="6" t="s">
        <v>24</v>
      </c>
      <c r="O85" s="6">
        <v>1</v>
      </c>
    </row>
    <row r="86" spans="1:15" hidden="1" x14ac:dyDescent="0.25">
      <c r="A86" s="4">
        <v>10027</v>
      </c>
      <c r="B86" s="5" t="s">
        <v>79</v>
      </c>
      <c r="C86" s="5" t="s">
        <v>78</v>
      </c>
      <c r="D86" s="5" t="s">
        <v>37</v>
      </c>
      <c r="E86" s="6" t="s">
        <v>18</v>
      </c>
      <c r="F86" s="9">
        <v>12</v>
      </c>
      <c r="G86" s="9">
        <v>54</v>
      </c>
      <c r="H86" s="6" t="s">
        <v>38</v>
      </c>
      <c r="I86" s="6" t="s">
        <v>30</v>
      </c>
      <c r="J86" s="6" t="s">
        <v>31</v>
      </c>
      <c r="K86" s="6" t="s">
        <v>32</v>
      </c>
      <c r="L86" s="6" t="s">
        <v>23</v>
      </c>
      <c r="M86" s="7">
        <v>200</v>
      </c>
      <c r="N86" s="6" t="s">
        <v>24</v>
      </c>
      <c r="O86" s="6">
        <v>1</v>
      </c>
    </row>
    <row r="87" spans="1:15" hidden="1" x14ac:dyDescent="0.25">
      <c r="A87" s="4">
        <v>10028</v>
      </c>
      <c r="B87" s="5" t="s">
        <v>80</v>
      </c>
      <c r="C87" s="5" t="s">
        <v>78</v>
      </c>
      <c r="D87" s="5" t="s">
        <v>37</v>
      </c>
      <c r="E87" s="6" t="s">
        <v>18</v>
      </c>
      <c r="F87" s="9">
        <v>12</v>
      </c>
      <c r="G87" s="9">
        <v>54</v>
      </c>
      <c r="H87" s="6" t="s">
        <v>19</v>
      </c>
      <c r="I87" s="6" t="s">
        <v>30</v>
      </c>
      <c r="J87" s="6" t="s">
        <v>31</v>
      </c>
      <c r="K87" s="6" t="s">
        <v>32</v>
      </c>
      <c r="L87" s="6" t="s">
        <v>23</v>
      </c>
      <c r="M87" s="7">
        <v>8</v>
      </c>
      <c r="N87" s="6" t="s">
        <v>24</v>
      </c>
      <c r="O87" s="6">
        <v>1</v>
      </c>
    </row>
    <row r="88" spans="1:15" hidden="1" x14ac:dyDescent="0.25">
      <c r="A88" s="4">
        <v>10028</v>
      </c>
      <c r="B88" s="5" t="s">
        <v>80</v>
      </c>
      <c r="C88" s="5" t="s">
        <v>78</v>
      </c>
      <c r="D88" s="5" t="s">
        <v>37</v>
      </c>
      <c r="E88" s="6" t="s">
        <v>18</v>
      </c>
      <c r="F88" s="9">
        <v>12</v>
      </c>
      <c r="G88" s="9">
        <v>54</v>
      </c>
      <c r="H88" s="6" t="s">
        <v>27</v>
      </c>
      <c r="I88" s="6" t="s">
        <v>20</v>
      </c>
      <c r="J88" s="6" t="s">
        <v>28</v>
      </c>
      <c r="K88" s="6" t="s">
        <v>29</v>
      </c>
      <c r="L88" s="6" t="s">
        <v>23</v>
      </c>
      <c r="M88" s="7">
        <v>290</v>
      </c>
      <c r="N88" s="6" t="s">
        <v>24</v>
      </c>
      <c r="O88" s="6">
        <v>1</v>
      </c>
    </row>
    <row r="89" spans="1:15" hidden="1" x14ac:dyDescent="0.25">
      <c r="A89" s="4">
        <v>10028</v>
      </c>
      <c r="B89" s="5" t="s">
        <v>80</v>
      </c>
      <c r="C89" s="5" t="s">
        <v>78</v>
      </c>
      <c r="D89" s="5" t="s">
        <v>37</v>
      </c>
      <c r="E89" s="6" t="s">
        <v>18</v>
      </c>
      <c r="F89" s="9">
        <v>12</v>
      </c>
      <c r="G89" s="9">
        <v>54</v>
      </c>
      <c r="H89" s="6" t="s">
        <v>38</v>
      </c>
      <c r="I89" s="6" t="s">
        <v>30</v>
      </c>
      <c r="J89" s="6" t="s">
        <v>31</v>
      </c>
      <c r="K89" s="6" t="s">
        <v>32</v>
      </c>
      <c r="L89" s="6" t="s">
        <v>23</v>
      </c>
      <c r="M89" s="7">
        <v>200</v>
      </c>
      <c r="N89" s="6" t="s">
        <v>24</v>
      </c>
      <c r="O89" s="6">
        <v>1</v>
      </c>
    </row>
    <row r="90" spans="1:15" hidden="1" x14ac:dyDescent="0.25">
      <c r="A90" s="4">
        <v>10175</v>
      </c>
      <c r="B90" s="5" t="s">
        <v>81</v>
      </c>
      <c r="C90" s="6" t="s">
        <v>82</v>
      </c>
      <c r="D90" s="5" t="s">
        <v>83</v>
      </c>
      <c r="E90" s="6" t="s">
        <v>18</v>
      </c>
      <c r="F90" s="9">
        <v>4</v>
      </c>
      <c r="G90" s="9">
        <v>40</v>
      </c>
      <c r="H90" s="6" t="s">
        <v>19</v>
      </c>
      <c r="I90" s="6" t="s">
        <v>30</v>
      </c>
      <c r="J90" s="6" t="s">
        <v>73</v>
      </c>
      <c r="K90" s="6" t="s">
        <v>43</v>
      </c>
      <c r="L90" s="6" t="s">
        <v>23</v>
      </c>
      <c r="M90" s="7">
        <v>38</v>
      </c>
      <c r="N90" s="6" t="s">
        <v>24</v>
      </c>
      <c r="O90" s="6">
        <v>1</v>
      </c>
    </row>
    <row r="91" spans="1:15" hidden="1" x14ac:dyDescent="0.25">
      <c r="A91" s="4">
        <v>10175</v>
      </c>
      <c r="B91" s="5" t="s">
        <v>81</v>
      </c>
      <c r="C91" s="6" t="s">
        <v>82</v>
      </c>
      <c r="D91" s="5" t="s">
        <v>83</v>
      </c>
      <c r="E91" s="6" t="s">
        <v>18</v>
      </c>
      <c r="F91" s="9">
        <v>4</v>
      </c>
      <c r="G91" s="9">
        <v>40</v>
      </c>
      <c r="H91" s="6" t="s">
        <v>27</v>
      </c>
      <c r="I91" s="6" t="s">
        <v>30</v>
      </c>
      <c r="J91" s="6" t="s">
        <v>31</v>
      </c>
      <c r="K91" s="6" t="s">
        <v>32</v>
      </c>
      <c r="L91" s="6" t="s">
        <v>23</v>
      </c>
      <c r="M91" s="7">
        <v>60</v>
      </c>
      <c r="N91" s="6" t="s">
        <v>24</v>
      </c>
      <c r="O91" s="6">
        <v>1</v>
      </c>
    </row>
    <row r="92" spans="1:15" hidden="1" x14ac:dyDescent="0.25">
      <c r="A92" s="4">
        <v>10176</v>
      </c>
      <c r="B92" s="5" t="s">
        <v>84</v>
      </c>
      <c r="C92" s="6" t="s">
        <v>82</v>
      </c>
      <c r="D92" s="5" t="s">
        <v>83</v>
      </c>
      <c r="E92" s="6" t="s">
        <v>18</v>
      </c>
      <c r="F92" s="9">
        <v>4</v>
      </c>
      <c r="G92" s="9">
        <v>40</v>
      </c>
      <c r="H92" s="6" t="s">
        <v>19</v>
      </c>
      <c r="I92" s="6" t="s">
        <v>30</v>
      </c>
      <c r="J92" s="6" t="s">
        <v>73</v>
      </c>
      <c r="K92" s="6" t="s">
        <v>43</v>
      </c>
      <c r="L92" s="6" t="s">
        <v>23</v>
      </c>
      <c r="M92" s="7">
        <v>38</v>
      </c>
      <c r="N92" s="6" t="s">
        <v>24</v>
      </c>
      <c r="O92" s="6">
        <v>1</v>
      </c>
    </row>
    <row r="93" spans="1:15" hidden="1" x14ac:dyDescent="0.25">
      <c r="A93" s="4">
        <v>10176</v>
      </c>
      <c r="B93" s="5" t="s">
        <v>84</v>
      </c>
      <c r="C93" s="6" t="s">
        <v>82</v>
      </c>
      <c r="D93" s="5" t="s">
        <v>83</v>
      </c>
      <c r="E93" s="6" t="s">
        <v>18</v>
      </c>
      <c r="F93" s="9">
        <v>4</v>
      </c>
      <c r="G93" s="9">
        <v>40</v>
      </c>
      <c r="H93" s="6" t="s">
        <v>27</v>
      </c>
      <c r="I93" s="6" t="s">
        <v>30</v>
      </c>
      <c r="J93" s="6" t="s">
        <v>31</v>
      </c>
      <c r="K93" s="6" t="s">
        <v>32</v>
      </c>
      <c r="L93" s="6" t="s">
        <v>23</v>
      </c>
      <c r="M93" s="7">
        <v>60</v>
      </c>
      <c r="N93" s="6" t="s">
        <v>24</v>
      </c>
      <c r="O93" s="6">
        <v>1</v>
      </c>
    </row>
    <row r="94" spans="1:15" hidden="1" x14ac:dyDescent="0.25">
      <c r="A94" s="4">
        <v>10484</v>
      </c>
      <c r="B94" s="5" t="s">
        <v>85</v>
      </c>
      <c r="C94" s="6" t="s">
        <v>82</v>
      </c>
      <c r="D94" s="5" t="s">
        <v>83</v>
      </c>
      <c r="E94" s="6" t="s">
        <v>18</v>
      </c>
      <c r="F94" s="9">
        <v>1</v>
      </c>
      <c r="G94" s="9">
        <v>70</v>
      </c>
      <c r="H94" s="6" t="s">
        <v>19</v>
      </c>
      <c r="I94" s="6" t="s">
        <v>30</v>
      </c>
      <c r="J94" s="6" t="s">
        <v>73</v>
      </c>
      <c r="K94" s="6" t="s">
        <v>43</v>
      </c>
      <c r="L94" s="6" t="s">
        <v>23</v>
      </c>
      <c r="M94" s="7">
        <v>90</v>
      </c>
      <c r="N94" s="6" t="s">
        <v>24</v>
      </c>
      <c r="O94" s="6">
        <v>1</v>
      </c>
    </row>
    <row r="95" spans="1:15" hidden="1" x14ac:dyDescent="0.25">
      <c r="A95" s="4" t="s">
        <v>86</v>
      </c>
      <c r="B95" s="5" t="s">
        <v>87</v>
      </c>
      <c r="C95" s="6" t="s">
        <v>82</v>
      </c>
      <c r="D95" s="5" t="s">
        <v>83</v>
      </c>
      <c r="E95" s="6" t="s">
        <v>18</v>
      </c>
      <c r="F95" s="9">
        <v>24</v>
      </c>
      <c r="G95" s="9">
        <v>78</v>
      </c>
      <c r="H95" s="6" t="s">
        <v>19</v>
      </c>
      <c r="I95" s="6" t="s">
        <v>20</v>
      </c>
      <c r="J95" s="6" t="s">
        <v>21</v>
      </c>
      <c r="K95" s="6" t="s">
        <v>22</v>
      </c>
      <c r="L95" s="6" t="s">
        <v>23</v>
      </c>
      <c r="M95" s="7">
        <v>2.8</v>
      </c>
      <c r="N95" s="6" t="s">
        <v>24</v>
      </c>
      <c r="O95" s="6">
        <v>1</v>
      </c>
    </row>
    <row r="96" spans="1:15" hidden="1" x14ac:dyDescent="0.25">
      <c r="A96" s="4" t="s">
        <v>86</v>
      </c>
      <c r="B96" s="5" t="s">
        <v>87</v>
      </c>
      <c r="C96" s="6" t="s">
        <v>82</v>
      </c>
      <c r="D96" s="5" t="s">
        <v>83</v>
      </c>
      <c r="E96" s="6" t="s">
        <v>18</v>
      </c>
      <c r="F96" s="9">
        <v>24</v>
      </c>
      <c r="G96" s="9">
        <v>78</v>
      </c>
      <c r="H96" s="6" t="s">
        <v>19</v>
      </c>
      <c r="I96" s="6" t="s">
        <v>25</v>
      </c>
      <c r="J96" s="6" t="s">
        <v>25</v>
      </c>
      <c r="K96" s="6" t="s">
        <v>26</v>
      </c>
      <c r="L96" s="6" t="s">
        <v>23</v>
      </c>
      <c r="M96" s="7">
        <v>47.6</v>
      </c>
      <c r="N96" s="6" t="s">
        <v>24</v>
      </c>
      <c r="O96" s="6">
        <v>1</v>
      </c>
    </row>
    <row r="97" spans="1:15" hidden="1" x14ac:dyDescent="0.25">
      <c r="A97" s="4" t="s">
        <v>86</v>
      </c>
      <c r="B97" s="5" t="s">
        <v>87</v>
      </c>
      <c r="C97" s="6" t="s">
        <v>82</v>
      </c>
      <c r="D97" s="5" t="s">
        <v>83</v>
      </c>
      <c r="E97" s="6" t="s">
        <v>18</v>
      </c>
      <c r="F97" s="9">
        <v>24</v>
      </c>
      <c r="G97" s="9">
        <v>78</v>
      </c>
      <c r="H97" s="6" t="s">
        <v>27</v>
      </c>
      <c r="I97" s="6" t="s">
        <v>20</v>
      </c>
      <c r="J97" s="6" t="s">
        <v>28</v>
      </c>
      <c r="K97" s="6" t="s">
        <v>88</v>
      </c>
      <c r="L97" s="6" t="s">
        <v>23</v>
      </c>
      <c r="M97" s="7">
        <v>75.5</v>
      </c>
      <c r="N97" s="6" t="s">
        <v>24</v>
      </c>
      <c r="O97" s="6">
        <v>1</v>
      </c>
    </row>
    <row r="98" spans="1:15" hidden="1" x14ac:dyDescent="0.25">
      <c r="A98" s="4" t="s">
        <v>86</v>
      </c>
      <c r="B98" s="5" t="s">
        <v>87</v>
      </c>
      <c r="C98" s="6" t="s">
        <v>82</v>
      </c>
      <c r="D98" s="5" t="s">
        <v>83</v>
      </c>
      <c r="E98" s="6" t="s">
        <v>18</v>
      </c>
      <c r="F98" s="9">
        <v>24</v>
      </c>
      <c r="G98" s="9">
        <v>78</v>
      </c>
      <c r="H98" s="6" t="s">
        <v>27</v>
      </c>
      <c r="I98" s="6" t="s">
        <v>30</v>
      </c>
      <c r="J98" s="6" t="s">
        <v>31</v>
      </c>
      <c r="K98" s="6" t="s">
        <v>32</v>
      </c>
      <c r="L98" s="6" t="s">
        <v>23</v>
      </c>
      <c r="M98" s="7">
        <v>29.35</v>
      </c>
      <c r="N98" s="6" t="s">
        <v>24</v>
      </c>
      <c r="O98" s="6">
        <v>1</v>
      </c>
    </row>
    <row r="99" spans="1:15" hidden="1" x14ac:dyDescent="0.25">
      <c r="A99" s="6">
        <v>10513</v>
      </c>
      <c r="B99" s="6" t="s">
        <v>89</v>
      </c>
      <c r="C99" s="6" t="s">
        <v>90</v>
      </c>
      <c r="D99" s="6" t="s">
        <v>91</v>
      </c>
      <c r="E99" s="6" t="s">
        <v>18</v>
      </c>
      <c r="F99" s="7">
        <v>10</v>
      </c>
      <c r="G99" s="7">
        <v>1</v>
      </c>
      <c r="H99" s="8" t="s">
        <v>19</v>
      </c>
      <c r="I99" s="8" t="s">
        <v>20</v>
      </c>
      <c r="J99" s="8" t="s">
        <v>28</v>
      </c>
      <c r="K99" s="6" t="s">
        <v>61</v>
      </c>
      <c r="L99" s="6" t="s">
        <v>23</v>
      </c>
      <c r="M99" s="7">
        <v>20</v>
      </c>
      <c r="N99" s="6" t="s">
        <v>24</v>
      </c>
      <c r="O99" s="6">
        <v>1</v>
      </c>
    </row>
    <row r="100" spans="1:15" hidden="1" x14ac:dyDescent="0.25">
      <c r="A100" s="6">
        <v>10513</v>
      </c>
      <c r="B100" s="6" t="s">
        <v>89</v>
      </c>
      <c r="C100" s="6" t="s">
        <v>90</v>
      </c>
      <c r="D100" s="6" t="s">
        <v>91</v>
      </c>
      <c r="E100" s="6" t="s">
        <v>18</v>
      </c>
      <c r="F100" s="7">
        <v>10</v>
      </c>
      <c r="G100" s="7">
        <v>1</v>
      </c>
      <c r="H100" s="8" t="s">
        <v>19</v>
      </c>
      <c r="I100" s="6" t="s">
        <v>30</v>
      </c>
      <c r="J100" s="6" t="s">
        <v>31</v>
      </c>
      <c r="K100" s="6" t="s">
        <v>32</v>
      </c>
      <c r="L100" s="6" t="s">
        <v>23</v>
      </c>
      <c r="M100" s="7">
        <v>12</v>
      </c>
      <c r="N100" s="6" t="s">
        <v>24</v>
      </c>
      <c r="O100" s="6">
        <v>1</v>
      </c>
    </row>
    <row r="101" spans="1:15" hidden="1" x14ac:dyDescent="0.25">
      <c r="A101" s="6">
        <v>10513</v>
      </c>
      <c r="B101" s="6" t="s">
        <v>89</v>
      </c>
      <c r="C101" s="6" t="s">
        <v>90</v>
      </c>
      <c r="D101" s="6" t="s">
        <v>91</v>
      </c>
      <c r="E101" s="6" t="s">
        <v>18</v>
      </c>
      <c r="F101" s="7">
        <v>10</v>
      </c>
      <c r="G101" s="7">
        <v>1</v>
      </c>
      <c r="H101" s="8" t="s">
        <v>27</v>
      </c>
      <c r="I101" s="6" t="s">
        <v>30</v>
      </c>
      <c r="J101" s="6" t="s">
        <v>31</v>
      </c>
      <c r="K101" s="6" t="s">
        <v>32</v>
      </c>
      <c r="L101" s="6" t="s">
        <v>23</v>
      </c>
      <c r="M101" s="7">
        <v>65</v>
      </c>
      <c r="N101" s="6" t="s">
        <v>24</v>
      </c>
      <c r="O101" s="6">
        <v>1</v>
      </c>
    </row>
    <row r="102" spans="1:15" hidden="1" x14ac:dyDescent="0.25">
      <c r="A102" s="4">
        <v>10588</v>
      </c>
      <c r="B102" s="5" t="s">
        <v>92</v>
      </c>
      <c r="C102" s="5" t="s">
        <v>90</v>
      </c>
      <c r="D102" s="5" t="s">
        <v>91</v>
      </c>
      <c r="E102" s="6" t="s">
        <v>18</v>
      </c>
      <c r="F102" s="9">
        <v>5</v>
      </c>
      <c r="G102" s="9">
        <v>30</v>
      </c>
      <c r="H102" s="6" t="s">
        <v>19</v>
      </c>
      <c r="I102" s="6" t="s">
        <v>20</v>
      </c>
      <c r="J102" s="6" t="s">
        <v>21</v>
      </c>
      <c r="K102" s="6" t="s">
        <v>61</v>
      </c>
      <c r="L102" s="6" t="s">
        <v>23</v>
      </c>
      <c r="M102" s="7">
        <v>80</v>
      </c>
      <c r="N102" s="6" t="s">
        <v>24</v>
      </c>
      <c r="O102" s="6">
        <v>1</v>
      </c>
    </row>
    <row r="103" spans="1:15" hidden="1" x14ac:dyDescent="0.25">
      <c r="A103" s="4">
        <v>10588</v>
      </c>
      <c r="B103" s="5" t="s">
        <v>92</v>
      </c>
      <c r="C103" s="5" t="s">
        <v>90</v>
      </c>
      <c r="D103" s="5" t="s">
        <v>91</v>
      </c>
      <c r="E103" s="6" t="s">
        <v>18</v>
      </c>
      <c r="F103" s="9">
        <v>5</v>
      </c>
      <c r="G103" s="9">
        <v>30</v>
      </c>
      <c r="H103" s="6" t="s">
        <v>19</v>
      </c>
      <c r="I103" s="6" t="s">
        <v>30</v>
      </c>
      <c r="J103" s="6" t="s">
        <v>31</v>
      </c>
      <c r="K103" s="6" t="s">
        <v>32</v>
      </c>
      <c r="L103" s="6" t="s">
        <v>23</v>
      </c>
      <c r="M103" s="7">
        <v>35</v>
      </c>
      <c r="N103" s="6" t="s">
        <v>24</v>
      </c>
      <c r="O103" s="6">
        <v>1</v>
      </c>
    </row>
    <row r="104" spans="1:15" hidden="1" x14ac:dyDescent="0.25">
      <c r="A104" s="4">
        <v>10588</v>
      </c>
      <c r="B104" s="5" t="s">
        <v>92</v>
      </c>
      <c r="C104" s="5" t="s">
        <v>90</v>
      </c>
      <c r="D104" s="5" t="s">
        <v>91</v>
      </c>
      <c r="E104" s="6" t="s">
        <v>18</v>
      </c>
      <c r="F104" s="9">
        <v>5</v>
      </c>
      <c r="G104" s="9">
        <v>30</v>
      </c>
      <c r="H104" s="6" t="s">
        <v>27</v>
      </c>
      <c r="I104" s="6" t="s">
        <v>30</v>
      </c>
      <c r="J104" s="6" t="s">
        <v>31</v>
      </c>
      <c r="K104" s="6" t="s">
        <v>32</v>
      </c>
      <c r="L104" s="6" t="s">
        <v>23</v>
      </c>
      <c r="M104" s="7">
        <v>70</v>
      </c>
      <c r="N104" s="6" t="s">
        <v>24</v>
      </c>
      <c r="O104" s="6">
        <v>1</v>
      </c>
    </row>
    <row r="105" spans="1:15" hidden="1" x14ac:dyDescent="0.25">
      <c r="A105" s="4">
        <v>10589</v>
      </c>
      <c r="B105" s="5" t="s">
        <v>93</v>
      </c>
      <c r="C105" s="5" t="s">
        <v>90</v>
      </c>
      <c r="D105" s="5" t="s">
        <v>91</v>
      </c>
      <c r="E105" s="6" t="s">
        <v>18</v>
      </c>
      <c r="F105" s="9">
        <v>4</v>
      </c>
      <c r="G105" s="9">
        <v>1</v>
      </c>
      <c r="H105" s="6" t="s">
        <v>19</v>
      </c>
      <c r="I105" s="6" t="s">
        <v>20</v>
      </c>
      <c r="J105" s="6" t="s">
        <v>21</v>
      </c>
      <c r="K105" s="6" t="s">
        <v>61</v>
      </c>
      <c r="L105" s="6" t="s">
        <v>23</v>
      </c>
      <c r="M105" s="7">
        <v>45</v>
      </c>
      <c r="N105" s="6" t="s">
        <v>24</v>
      </c>
      <c r="O105" s="6">
        <v>1</v>
      </c>
    </row>
    <row r="106" spans="1:15" hidden="1" x14ac:dyDescent="0.25">
      <c r="A106" s="4">
        <v>10589</v>
      </c>
      <c r="B106" s="5" t="s">
        <v>93</v>
      </c>
      <c r="C106" s="5" t="s">
        <v>90</v>
      </c>
      <c r="D106" s="5" t="s">
        <v>91</v>
      </c>
      <c r="E106" s="6" t="s">
        <v>18</v>
      </c>
      <c r="F106" s="9">
        <v>4</v>
      </c>
      <c r="G106" s="9">
        <v>1</v>
      </c>
      <c r="H106" s="6" t="s">
        <v>19</v>
      </c>
      <c r="I106" s="6" t="s">
        <v>30</v>
      </c>
      <c r="J106" s="6" t="s">
        <v>31</v>
      </c>
      <c r="K106" s="6" t="s">
        <v>32</v>
      </c>
      <c r="L106" s="6" t="s">
        <v>23</v>
      </c>
      <c r="M106" s="7">
        <v>20</v>
      </c>
      <c r="N106" s="6" t="s">
        <v>24</v>
      </c>
      <c r="O106" s="6">
        <v>1</v>
      </c>
    </row>
    <row r="107" spans="1:15" hidden="1" x14ac:dyDescent="0.25">
      <c r="A107" s="4">
        <v>10589</v>
      </c>
      <c r="B107" s="5" t="s">
        <v>93</v>
      </c>
      <c r="C107" s="5" t="s">
        <v>90</v>
      </c>
      <c r="D107" s="5" t="s">
        <v>91</v>
      </c>
      <c r="E107" s="6" t="s">
        <v>18</v>
      </c>
      <c r="F107" s="9">
        <v>4</v>
      </c>
      <c r="G107" s="9">
        <v>1</v>
      </c>
      <c r="H107" s="6" t="s">
        <v>27</v>
      </c>
      <c r="I107" s="6" t="s">
        <v>30</v>
      </c>
      <c r="J107" s="6" t="s">
        <v>31</v>
      </c>
      <c r="K107" s="6" t="s">
        <v>32</v>
      </c>
      <c r="L107" s="6" t="s">
        <v>23</v>
      </c>
      <c r="M107" s="7">
        <v>60</v>
      </c>
      <c r="N107" s="6" t="s">
        <v>24</v>
      </c>
      <c r="O107" s="6">
        <v>1</v>
      </c>
    </row>
    <row r="108" spans="1:15" hidden="1" x14ac:dyDescent="0.25">
      <c r="A108" s="6">
        <v>10602</v>
      </c>
      <c r="B108" s="6" t="s">
        <v>94</v>
      </c>
      <c r="C108" s="6" t="s">
        <v>90</v>
      </c>
      <c r="D108" s="6" t="s">
        <v>91</v>
      </c>
      <c r="E108" s="6" t="s">
        <v>18</v>
      </c>
      <c r="F108" s="7">
        <v>10</v>
      </c>
      <c r="G108" s="7">
        <v>1</v>
      </c>
      <c r="H108" s="8" t="s">
        <v>19</v>
      </c>
      <c r="I108" s="8" t="s">
        <v>20</v>
      </c>
      <c r="J108" s="8" t="s">
        <v>28</v>
      </c>
      <c r="K108" s="6" t="s">
        <v>61</v>
      </c>
      <c r="L108" s="6" t="s">
        <v>23</v>
      </c>
      <c r="M108" s="7">
        <v>20</v>
      </c>
      <c r="N108" s="6" t="s">
        <v>24</v>
      </c>
      <c r="O108" s="6">
        <v>1</v>
      </c>
    </row>
    <row r="109" spans="1:15" hidden="1" x14ac:dyDescent="0.25">
      <c r="A109" s="6">
        <v>10602</v>
      </c>
      <c r="B109" s="6" t="s">
        <v>94</v>
      </c>
      <c r="C109" s="6" t="s">
        <v>90</v>
      </c>
      <c r="D109" s="6" t="s">
        <v>91</v>
      </c>
      <c r="E109" s="6" t="s">
        <v>18</v>
      </c>
      <c r="F109" s="7">
        <v>10</v>
      </c>
      <c r="G109" s="7">
        <v>1</v>
      </c>
      <c r="H109" s="8" t="s">
        <v>19</v>
      </c>
      <c r="I109" s="6" t="s">
        <v>30</v>
      </c>
      <c r="J109" s="6" t="s">
        <v>31</v>
      </c>
      <c r="K109" s="6" t="s">
        <v>32</v>
      </c>
      <c r="L109" s="6" t="s">
        <v>23</v>
      </c>
      <c r="M109" s="7">
        <v>12</v>
      </c>
      <c r="N109" s="6" t="s">
        <v>24</v>
      </c>
      <c r="O109" s="6">
        <v>1</v>
      </c>
    </row>
    <row r="110" spans="1:15" hidden="1" x14ac:dyDescent="0.25">
      <c r="A110" s="6">
        <v>10602</v>
      </c>
      <c r="B110" s="6" t="s">
        <v>94</v>
      </c>
      <c r="C110" s="6" t="s">
        <v>90</v>
      </c>
      <c r="D110" s="6" t="s">
        <v>91</v>
      </c>
      <c r="E110" s="6" t="s">
        <v>18</v>
      </c>
      <c r="F110" s="7">
        <v>10</v>
      </c>
      <c r="G110" s="7">
        <v>1</v>
      </c>
      <c r="H110" s="8" t="s">
        <v>27</v>
      </c>
      <c r="I110" s="6" t="s">
        <v>30</v>
      </c>
      <c r="J110" s="6" t="s">
        <v>31</v>
      </c>
      <c r="K110" s="6" t="s">
        <v>32</v>
      </c>
      <c r="L110" s="6" t="s">
        <v>23</v>
      </c>
      <c r="M110" s="7">
        <v>65</v>
      </c>
      <c r="N110" s="6" t="s">
        <v>24</v>
      </c>
      <c r="O110" s="6">
        <v>1</v>
      </c>
    </row>
    <row r="112" spans="1:15" x14ac:dyDescent="0.25">
      <c r="A112">
        <f>COUNT(A2:A110)</f>
        <v>105</v>
      </c>
      <c r="B112" s="6" t="s">
        <v>167</v>
      </c>
    </row>
    <row r="113" spans="1:3" x14ac:dyDescent="0.25">
      <c r="A113">
        <f>COUNT(_xlfn.ANCHORARRAY(C113))</f>
        <v>34</v>
      </c>
      <c r="B113" s="6" t="s">
        <v>168</v>
      </c>
      <c r="C113" cm="1">
        <f t="array" ref="C113:C147">_xlfn.UNIQUE(A2:A110)</f>
        <v>1090</v>
      </c>
    </row>
    <row r="114" spans="1:3" x14ac:dyDescent="0.25">
      <c r="C114">
        <v>1155</v>
      </c>
    </row>
    <row r="115" spans="1:3" x14ac:dyDescent="0.25">
      <c r="C115">
        <v>1160</v>
      </c>
    </row>
    <row r="116" spans="1:3" x14ac:dyDescent="0.25">
      <c r="C116">
        <v>1165</v>
      </c>
    </row>
    <row r="117" spans="1:3" x14ac:dyDescent="0.25">
      <c r="C117">
        <v>10231</v>
      </c>
    </row>
    <row r="118" spans="1:3" x14ac:dyDescent="0.25">
      <c r="C118">
        <v>10232</v>
      </c>
    </row>
    <row r="119" spans="1:3" x14ac:dyDescent="0.25">
      <c r="C119">
        <v>10524</v>
      </c>
    </row>
    <row r="120" spans="1:3" x14ac:dyDescent="0.25">
      <c r="C120">
        <v>10037</v>
      </c>
    </row>
    <row r="121" spans="1:3" x14ac:dyDescent="0.25">
      <c r="C121">
        <v>10038</v>
      </c>
    </row>
    <row r="122" spans="1:3" x14ac:dyDescent="0.25">
      <c r="C122">
        <v>10039</v>
      </c>
    </row>
    <row r="123" spans="1:3" x14ac:dyDescent="0.25">
      <c r="C123">
        <v>5245</v>
      </c>
    </row>
    <row r="124" spans="1:3" x14ac:dyDescent="0.25">
      <c r="C124">
        <v>5250</v>
      </c>
    </row>
    <row r="125" spans="1:3" x14ac:dyDescent="0.25">
      <c r="C125">
        <v>10457</v>
      </c>
    </row>
    <row r="126" spans="1:3" x14ac:dyDescent="0.25">
      <c r="C126">
        <v>10599</v>
      </c>
    </row>
    <row r="127" spans="1:3" x14ac:dyDescent="0.25">
      <c r="C127">
        <v>10604</v>
      </c>
    </row>
    <row r="128" spans="1:3" x14ac:dyDescent="0.25">
      <c r="C128">
        <v>10605</v>
      </c>
    </row>
    <row r="129" spans="3:3" x14ac:dyDescent="0.25">
      <c r="C129">
        <v>1280</v>
      </c>
    </row>
    <row r="130" spans="3:3" x14ac:dyDescent="0.25">
      <c r="C130">
        <v>1300</v>
      </c>
    </row>
    <row r="131" spans="3:3" x14ac:dyDescent="0.25">
      <c r="C131">
        <v>1250</v>
      </c>
    </row>
    <row r="132" spans="3:3" x14ac:dyDescent="0.25">
      <c r="C132">
        <v>10165</v>
      </c>
    </row>
    <row r="133" spans="3:3" x14ac:dyDescent="0.25">
      <c r="C133">
        <v>10592</v>
      </c>
    </row>
    <row r="134" spans="3:3" x14ac:dyDescent="0.25">
      <c r="C134">
        <v>10050</v>
      </c>
    </row>
    <row r="135" spans="3:3" x14ac:dyDescent="0.25">
      <c r="C135">
        <v>10051</v>
      </c>
    </row>
    <row r="136" spans="3:3" x14ac:dyDescent="0.25">
      <c r="C136">
        <v>10052</v>
      </c>
    </row>
    <row r="137" spans="3:3" x14ac:dyDescent="0.25">
      <c r="C137">
        <v>10026</v>
      </c>
    </row>
    <row r="138" spans="3:3" x14ac:dyDescent="0.25">
      <c r="C138">
        <v>10027</v>
      </c>
    </row>
    <row r="139" spans="3:3" x14ac:dyDescent="0.25">
      <c r="C139">
        <v>10028</v>
      </c>
    </row>
    <row r="140" spans="3:3" x14ac:dyDescent="0.25">
      <c r="C140">
        <v>10175</v>
      </c>
    </row>
    <row r="141" spans="3:3" x14ac:dyDescent="0.25">
      <c r="C141">
        <v>10176</v>
      </c>
    </row>
    <row r="142" spans="3:3" x14ac:dyDescent="0.25">
      <c r="C142">
        <v>10484</v>
      </c>
    </row>
    <row r="143" spans="3:3" x14ac:dyDescent="0.25">
      <c r="C143" t="str">
        <v>1190/1180</v>
      </c>
    </row>
    <row r="144" spans="3:3" x14ac:dyDescent="0.25">
      <c r="C144">
        <v>10513</v>
      </c>
    </row>
    <row r="145" spans="3:3" x14ac:dyDescent="0.25">
      <c r="C145">
        <v>10588</v>
      </c>
    </row>
    <row r="146" spans="3:3" x14ac:dyDescent="0.25">
      <c r="C146">
        <v>10589</v>
      </c>
    </row>
    <row r="147" spans="3:3" x14ac:dyDescent="0.25">
      <c r="C147">
        <v>10602</v>
      </c>
    </row>
  </sheetData>
  <autoFilter ref="A1:O110" xr:uid="{00000000-0001-0000-0000-000000000000}">
    <filterColumn colId="1">
      <filters>
        <filter val="Sweetcorn 326g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4D6C-2A17-4177-9820-6ECEFEA95E7C}">
  <dimension ref="A1:G68"/>
  <sheetViews>
    <sheetView topLeftCell="A4" zoomScale="280" zoomScaleNormal="280" workbookViewId="0">
      <selection activeCell="D11" sqref="D11"/>
    </sheetView>
  </sheetViews>
  <sheetFormatPr defaultColWidth="13" defaultRowHeight="12.75" x14ac:dyDescent="0.2"/>
  <cols>
    <col min="1" max="1" width="41.42578125" style="25" customWidth="1"/>
    <col min="2" max="2" width="14.7109375" style="8" bestFit="1" customWidth="1"/>
    <col min="3" max="3" width="12.85546875" style="8" bestFit="1" customWidth="1"/>
    <col min="4" max="4" width="54.5703125" style="8" bestFit="1" customWidth="1"/>
    <col min="5" max="5" width="9.140625" style="8" customWidth="1"/>
    <col min="6" max="6" width="10.42578125" style="8" customWidth="1"/>
    <col min="7" max="7" width="11.85546875" style="8" customWidth="1"/>
    <col min="8" max="16384" width="13" style="8"/>
  </cols>
  <sheetData>
    <row r="1" spans="1:7" x14ac:dyDescent="0.2">
      <c r="A1" s="148" t="s">
        <v>175</v>
      </c>
      <c r="B1" s="149" t="s">
        <v>2</v>
      </c>
      <c r="C1" s="149" t="s">
        <v>0</v>
      </c>
      <c r="D1" s="151" t="s">
        <v>186</v>
      </c>
      <c r="E1" s="150" t="s">
        <v>187</v>
      </c>
      <c r="F1" s="150" t="s">
        <v>188</v>
      </c>
      <c r="G1" s="146" t="s">
        <v>189</v>
      </c>
    </row>
    <row r="2" spans="1:7" x14ac:dyDescent="0.2">
      <c r="A2" s="148"/>
      <c r="B2" s="150"/>
      <c r="C2" s="150"/>
      <c r="D2" s="152"/>
      <c r="E2" s="153"/>
      <c r="F2" s="153"/>
      <c r="G2" s="147"/>
    </row>
    <row r="3" spans="1:7" x14ac:dyDescent="0.2">
      <c r="A3" s="15" t="s">
        <v>52</v>
      </c>
      <c r="B3" s="15" t="s">
        <v>261</v>
      </c>
      <c r="C3" s="15">
        <v>10599</v>
      </c>
      <c r="D3" s="18" t="s">
        <v>51</v>
      </c>
      <c r="E3" s="15" t="s">
        <v>264</v>
      </c>
      <c r="F3" s="15">
        <v>15</v>
      </c>
      <c r="G3" s="17">
        <v>22080</v>
      </c>
    </row>
    <row r="4" spans="1:7" x14ac:dyDescent="0.2">
      <c r="A4" s="15" t="s">
        <v>52</v>
      </c>
      <c r="B4" s="15" t="s">
        <v>261</v>
      </c>
      <c r="C4" s="15">
        <v>10605</v>
      </c>
      <c r="D4" s="18" t="s">
        <v>262</v>
      </c>
      <c r="E4" s="15">
        <v>60</v>
      </c>
      <c r="F4" s="15">
        <v>12</v>
      </c>
      <c r="G4" s="17">
        <v>21796</v>
      </c>
    </row>
    <row r="5" spans="1:7" x14ac:dyDescent="0.2">
      <c r="A5" s="15" t="s">
        <v>265</v>
      </c>
      <c r="B5" s="15" t="s">
        <v>266</v>
      </c>
      <c r="C5" s="15">
        <v>10589</v>
      </c>
      <c r="D5" s="18" t="s">
        <v>269</v>
      </c>
      <c r="E5" s="15" t="s">
        <v>270</v>
      </c>
      <c r="F5" s="15">
        <v>4</v>
      </c>
      <c r="G5" s="17">
        <v>16672</v>
      </c>
    </row>
    <row r="6" spans="1:7" x14ac:dyDescent="0.2">
      <c r="A6" s="15" t="s">
        <v>52</v>
      </c>
      <c r="B6" s="15" t="s">
        <v>261</v>
      </c>
      <c r="C6" s="15">
        <v>10604</v>
      </c>
      <c r="D6" s="18" t="s">
        <v>263</v>
      </c>
      <c r="E6" s="15">
        <v>30</v>
      </c>
      <c r="F6" s="15">
        <v>16</v>
      </c>
      <c r="G6" s="17">
        <v>16651</v>
      </c>
    </row>
    <row r="7" spans="1:7" x14ac:dyDescent="0.2">
      <c r="A7" s="15" t="s">
        <v>265</v>
      </c>
      <c r="B7" s="15" t="s">
        <v>266</v>
      </c>
      <c r="C7" s="15">
        <v>10588</v>
      </c>
      <c r="D7" s="18" t="s">
        <v>267</v>
      </c>
      <c r="E7" s="15" t="s">
        <v>268</v>
      </c>
      <c r="F7" s="15">
        <v>5</v>
      </c>
      <c r="G7" s="17">
        <v>15372</v>
      </c>
    </row>
    <row r="8" spans="1:7" x14ac:dyDescent="0.2">
      <c r="A8" s="15" t="s">
        <v>265</v>
      </c>
      <c r="B8" s="15" t="s">
        <v>266</v>
      </c>
      <c r="C8" s="15">
        <v>10513</v>
      </c>
      <c r="D8" s="18" t="s">
        <v>271</v>
      </c>
      <c r="E8" s="15" t="s">
        <v>272</v>
      </c>
      <c r="F8" s="15">
        <v>10</v>
      </c>
      <c r="G8" s="17">
        <v>12990</v>
      </c>
    </row>
    <row r="9" spans="1:7" x14ac:dyDescent="0.2">
      <c r="A9" s="15" t="s">
        <v>265</v>
      </c>
      <c r="B9" s="15" t="s">
        <v>266</v>
      </c>
      <c r="C9" s="15">
        <v>10600</v>
      </c>
      <c r="D9" s="18" t="s">
        <v>273</v>
      </c>
      <c r="E9" s="15" t="s">
        <v>274</v>
      </c>
      <c r="F9" s="15">
        <v>8</v>
      </c>
      <c r="G9" s="17">
        <v>11136</v>
      </c>
    </row>
    <row r="10" spans="1:7" x14ac:dyDescent="0.2">
      <c r="A10" s="15" t="s">
        <v>265</v>
      </c>
      <c r="B10" s="15" t="s">
        <v>266</v>
      </c>
      <c r="C10" s="15">
        <v>10513</v>
      </c>
      <c r="D10" s="18" t="s">
        <v>276</v>
      </c>
      <c r="E10" s="15" t="s">
        <v>272</v>
      </c>
      <c r="F10" s="15">
        <v>10</v>
      </c>
      <c r="G10" s="17">
        <v>8784</v>
      </c>
    </row>
    <row r="11" spans="1:7" x14ac:dyDescent="0.2">
      <c r="A11" s="15" t="s">
        <v>58</v>
      </c>
      <c r="B11" s="15" t="s">
        <v>57</v>
      </c>
      <c r="C11" s="15">
        <v>10592</v>
      </c>
      <c r="D11" s="18" t="s">
        <v>260</v>
      </c>
      <c r="E11" s="15">
        <v>8</v>
      </c>
      <c r="F11" s="15">
        <v>20</v>
      </c>
      <c r="G11" s="17">
        <v>7156</v>
      </c>
    </row>
    <row r="12" spans="1:7" x14ac:dyDescent="0.2">
      <c r="A12" s="15" t="s">
        <v>265</v>
      </c>
      <c r="B12" s="15" t="s">
        <v>266</v>
      </c>
      <c r="C12" s="15">
        <v>10587</v>
      </c>
      <c r="D12" s="18" t="s">
        <v>275</v>
      </c>
      <c r="E12" s="15">
        <v>100</v>
      </c>
      <c r="F12" s="15">
        <v>16</v>
      </c>
      <c r="G12" s="17">
        <v>5278</v>
      </c>
    </row>
    <row r="13" spans="1:7" x14ac:dyDescent="0.2">
      <c r="A13" s="15" t="s">
        <v>192</v>
      </c>
      <c r="B13" s="15" t="s">
        <v>193</v>
      </c>
      <c r="C13" s="15">
        <v>10149</v>
      </c>
      <c r="D13" s="16" t="s">
        <v>194</v>
      </c>
      <c r="E13" s="15">
        <v>1</v>
      </c>
      <c r="F13" s="15">
        <v>50</v>
      </c>
      <c r="G13" s="17">
        <v>5257</v>
      </c>
    </row>
    <row r="14" spans="1:7" x14ac:dyDescent="0.2">
      <c r="A14" s="15" t="s">
        <v>200</v>
      </c>
      <c r="B14" s="15" t="s">
        <v>207</v>
      </c>
      <c r="C14" s="15">
        <v>1090</v>
      </c>
      <c r="D14" s="18" t="s">
        <v>222</v>
      </c>
      <c r="E14" s="15" t="s">
        <v>223</v>
      </c>
      <c r="F14" s="15">
        <v>12</v>
      </c>
      <c r="G14" s="17">
        <v>4716</v>
      </c>
    </row>
    <row r="15" spans="1:7" x14ac:dyDescent="0.2">
      <c r="A15" s="15" t="s">
        <v>277</v>
      </c>
      <c r="B15" s="15" t="s">
        <v>207</v>
      </c>
      <c r="C15" s="15">
        <v>10231</v>
      </c>
      <c r="D15" s="19" t="s">
        <v>278</v>
      </c>
      <c r="E15" s="15" t="s">
        <v>279</v>
      </c>
      <c r="F15" s="15">
        <v>24</v>
      </c>
      <c r="G15" s="17">
        <v>4283</v>
      </c>
    </row>
    <row r="16" spans="1:7" x14ac:dyDescent="0.2">
      <c r="A16" s="15" t="s">
        <v>277</v>
      </c>
      <c r="B16" s="15" t="s">
        <v>288</v>
      </c>
      <c r="C16" s="15">
        <v>10037</v>
      </c>
      <c r="D16" s="18" t="s">
        <v>292</v>
      </c>
      <c r="E16" s="15" t="s">
        <v>290</v>
      </c>
      <c r="F16" s="15">
        <v>8</v>
      </c>
      <c r="G16" s="17">
        <v>3945</v>
      </c>
    </row>
    <row r="17" spans="1:7" x14ac:dyDescent="0.2">
      <c r="A17" s="15" t="s">
        <v>232</v>
      </c>
      <c r="B17" s="15" t="s">
        <v>82</v>
      </c>
      <c r="C17" s="15">
        <v>10484</v>
      </c>
      <c r="D17" s="18" t="s">
        <v>233</v>
      </c>
      <c r="E17" s="15" t="s">
        <v>234</v>
      </c>
      <c r="F17" s="15">
        <v>1</v>
      </c>
      <c r="G17" s="17">
        <v>3778</v>
      </c>
    </row>
    <row r="18" spans="1:7" x14ac:dyDescent="0.2">
      <c r="A18" s="15" t="s">
        <v>277</v>
      </c>
      <c r="B18" s="15" t="s">
        <v>288</v>
      </c>
      <c r="C18" s="15">
        <v>10038</v>
      </c>
      <c r="D18" s="18" t="s">
        <v>291</v>
      </c>
      <c r="E18" s="15" t="s">
        <v>290</v>
      </c>
      <c r="F18" s="15">
        <v>8</v>
      </c>
      <c r="G18" s="17">
        <v>3544</v>
      </c>
    </row>
    <row r="19" spans="1:7" x14ac:dyDescent="0.2">
      <c r="A19" s="15" t="s">
        <v>240</v>
      </c>
      <c r="B19" s="15" t="s">
        <v>96</v>
      </c>
      <c r="C19" s="15">
        <v>10593</v>
      </c>
      <c r="D19" s="18" t="s">
        <v>241</v>
      </c>
      <c r="E19" s="15" t="s">
        <v>242</v>
      </c>
      <c r="F19" s="15">
        <v>20</v>
      </c>
      <c r="G19" s="17">
        <v>3444</v>
      </c>
    </row>
    <row r="20" spans="1:7" x14ac:dyDescent="0.2">
      <c r="A20" s="15" t="s">
        <v>200</v>
      </c>
      <c r="B20" s="15" t="s">
        <v>207</v>
      </c>
      <c r="C20" s="15">
        <v>1155</v>
      </c>
      <c r="D20" s="18" t="s">
        <v>210</v>
      </c>
      <c r="E20" s="15" t="s">
        <v>209</v>
      </c>
      <c r="F20" s="15">
        <v>12</v>
      </c>
      <c r="G20" s="17">
        <v>3149</v>
      </c>
    </row>
    <row r="21" spans="1:7" x14ac:dyDescent="0.2">
      <c r="A21" s="15" t="s">
        <v>232</v>
      </c>
      <c r="B21" s="15" t="s">
        <v>82</v>
      </c>
      <c r="C21" s="15">
        <v>10175</v>
      </c>
      <c r="D21" s="18" t="s">
        <v>237</v>
      </c>
      <c r="E21" s="15" t="s">
        <v>236</v>
      </c>
      <c r="F21" s="15">
        <v>4</v>
      </c>
      <c r="G21" s="17">
        <v>3002</v>
      </c>
    </row>
    <row r="22" spans="1:7" x14ac:dyDescent="0.2">
      <c r="A22" s="15" t="s">
        <v>190</v>
      </c>
      <c r="B22" s="15" t="s">
        <v>103</v>
      </c>
      <c r="C22" s="15">
        <v>1010</v>
      </c>
      <c r="D22" s="16" t="s">
        <v>191</v>
      </c>
      <c r="E22" s="15">
        <v>80</v>
      </c>
      <c r="F22" s="15">
        <v>6</v>
      </c>
      <c r="G22" s="17">
        <v>2553</v>
      </c>
    </row>
    <row r="23" spans="1:7" x14ac:dyDescent="0.2">
      <c r="A23" s="15" t="s">
        <v>67</v>
      </c>
      <c r="B23" s="15" t="s">
        <v>243</v>
      </c>
      <c r="C23" s="15">
        <v>10050</v>
      </c>
      <c r="D23" s="18" t="s">
        <v>244</v>
      </c>
      <c r="E23" s="15" t="s">
        <v>245</v>
      </c>
      <c r="F23" s="15">
        <v>12</v>
      </c>
      <c r="G23" s="17">
        <v>2440</v>
      </c>
    </row>
    <row r="24" spans="1:7" x14ac:dyDescent="0.2">
      <c r="A24" s="15" t="s">
        <v>200</v>
      </c>
      <c r="B24" s="15" t="s">
        <v>201</v>
      </c>
      <c r="C24" s="15">
        <v>1140</v>
      </c>
      <c r="D24" s="18" t="s">
        <v>202</v>
      </c>
      <c r="E24" s="15" t="s">
        <v>203</v>
      </c>
      <c r="F24" s="15">
        <v>12</v>
      </c>
      <c r="G24" s="17">
        <v>2194</v>
      </c>
    </row>
    <row r="25" spans="1:7" x14ac:dyDescent="0.2">
      <c r="A25" s="15" t="s">
        <v>58</v>
      </c>
      <c r="B25" s="15" t="s">
        <v>57</v>
      </c>
      <c r="C25" s="15">
        <v>1250</v>
      </c>
      <c r="D25" s="18" t="s">
        <v>250</v>
      </c>
      <c r="E25" s="15">
        <v>1</v>
      </c>
      <c r="F25" s="15">
        <v>24</v>
      </c>
      <c r="G25" s="17">
        <v>2125</v>
      </c>
    </row>
    <row r="26" spans="1:7" x14ac:dyDescent="0.2">
      <c r="A26" s="15" t="s">
        <v>277</v>
      </c>
      <c r="B26" s="15" t="s">
        <v>207</v>
      </c>
      <c r="C26" s="15">
        <v>10232</v>
      </c>
      <c r="D26" s="18" t="s">
        <v>280</v>
      </c>
      <c r="E26" s="15" t="s">
        <v>279</v>
      </c>
      <c r="F26" s="15">
        <v>24</v>
      </c>
      <c r="G26" s="17">
        <v>2119</v>
      </c>
    </row>
    <row r="27" spans="1:7" x14ac:dyDescent="0.2">
      <c r="A27" s="15" t="s">
        <v>200</v>
      </c>
      <c r="B27" s="15" t="s">
        <v>218</v>
      </c>
      <c r="C27" s="15">
        <v>10010</v>
      </c>
      <c r="D27" s="18" t="s">
        <v>224</v>
      </c>
      <c r="E27" s="15" t="s">
        <v>225</v>
      </c>
      <c r="F27" s="15">
        <v>12</v>
      </c>
      <c r="G27" s="17">
        <v>2063</v>
      </c>
    </row>
    <row r="28" spans="1:7" x14ac:dyDescent="0.2">
      <c r="A28" s="15" t="s">
        <v>200</v>
      </c>
      <c r="B28" s="15" t="s">
        <v>207</v>
      </c>
      <c r="C28" s="15">
        <v>10524</v>
      </c>
      <c r="D28" s="18" t="s">
        <v>221</v>
      </c>
      <c r="E28" s="15" t="s">
        <v>209</v>
      </c>
      <c r="F28" s="15">
        <v>12</v>
      </c>
      <c r="G28" s="17">
        <v>2030</v>
      </c>
    </row>
    <row r="29" spans="1:7" x14ac:dyDescent="0.2">
      <c r="A29" s="15" t="s">
        <v>232</v>
      </c>
      <c r="B29" s="15" t="s">
        <v>82</v>
      </c>
      <c r="C29" s="15">
        <v>10176</v>
      </c>
      <c r="D29" s="18" t="s">
        <v>235</v>
      </c>
      <c r="E29" s="15" t="s">
        <v>236</v>
      </c>
      <c r="F29" s="15">
        <v>4</v>
      </c>
      <c r="G29" s="17">
        <v>1957</v>
      </c>
    </row>
    <row r="30" spans="1:7" x14ac:dyDescent="0.2">
      <c r="A30" s="15" t="s">
        <v>200</v>
      </c>
      <c r="B30" s="15" t="s">
        <v>207</v>
      </c>
      <c r="C30" s="15">
        <v>1165</v>
      </c>
      <c r="D30" s="18" t="s">
        <v>211</v>
      </c>
      <c r="E30" s="15" t="s">
        <v>209</v>
      </c>
      <c r="F30" s="15">
        <v>12</v>
      </c>
      <c r="G30" s="17">
        <v>1938</v>
      </c>
    </row>
    <row r="31" spans="1:7" x14ac:dyDescent="0.2">
      <c r="A31" s="15" t="s">
        <v>200</v>
      </c>
      <c r="B31" s="15" t="s">
        <v>218</v>
      </c>
      <c r="C31" s="15">
        <v>10014</v>
      </c>
      <c r="D31" s="18" t="s">
        <v>228</v>
      </c>
      <c r="E31" s="15" t="s">
        <v>225</v>
      </c>
      <c r="F31" s="15">
        <v>12</v>
      </c>
      <c r="G31" s="17">
        <v>1923</v>
      </c>
    </row>
    <row r="32" spans="1:7" x14ac:dyDescent="0.2">
      <c r="A32" s="15" t="s">
        <v>200</v>
      </c>
      <c r="B32" s="15" t="s">
        <v>201</v>
      </c>
      <c r="C32" s="15">
        <v>1055</v>
      </c>
      <c r="D32" s="18" t="s">
        <v>212</v>
      </c>
      <c r="E32" s="15" t="s">
        <v>203</v>
      </c>
      <c r="F32" s="15">
        <v>12</v>
      </c>
      <c r="G32" s="17">
        <v>1782</v>
      </c>
    </row>
    <row r="33" spans="1:7" x14ac:dyDescent="0.2">
      <c r="A33" s="15" t="s">
        <v>277</v>
      </c>
      <c r="B33" s="15" t="s">
        <v>136</v>
      </c>
      <c r="C33" s="15">
        <v>10594</v>
      </c>
      <c r="D33" s="18" t="s">
        <v>286</v>
      </c>
      <c r="E33" s="15" t="s">
        <v>245</v>
      </c>
      <c r="F33" s="15">
        <v>15</v>
      </c>
      <c r="G33" s="17">
        <v>1669</v>
      </c>
    </row>
    <row r="34" spans="1:7" x14ac:dyDescent="0.2">
      <c r="A34" s="15" t="s">
        <v>277</v>
      </c>
      <c r="B34" s="15" t="s">
        <v>281</v>
      </c>
      <c r="C34" s="15">
        <v>10026</v>
      </c>
      <c r="D34" s="18" t="s">
        <v>285</v>
      </c>
      <c r="E34" s="15" t="s">
        <v>283</v>
      </c>
      <c r="F34" s="15">
        <v>12</v>
      </c>
      <c r="G34" s="17">
        <v>1666</v>
      </c>
    </row>
    <row r="35" spans="1:7" x14ac:dyDescent="0.2">
      <c r="A35" s="15" t="s">
        <v>67</v>
      </c>
      <c r="B35" s="15" t="s">
        <v>243</v>
      </c>
      <c r="C35" s="15">
        <v>10051</v>
      </c>
      <c r="D35" s="18" t="s">
        <v>246</v>
      </c>
      <c r="E35" s="15" t="s">
        <v>245</v>
      </c>
      <c r="F35" s="15">
        <v>12</v>
      </c>
      <c r="G35" s="17">
        <v>1567</v>
      </c>
    </row>
    <row r="36" spans="1:7" x14ac:dyDescent="0.2">
      <c r="A36" s="15" t="s">
        <v>277</v>
      </c>
      <c r="B36" s="15" t="s">
        <v>281</v>
      </c>
      <c r="C36" s="15">
        <v>10027</v>
      </c>
      <c r="D36" s="18" t="s">
        <v>284</v>
      </c>
      <c r="E36" s="15" t="s">
        <v>283</v>
      </c>
      <c r="F36" s="15">
        <v>12</v>
      </c>
      <c r="G36" s="17">
        <v>1555</v>
      </c>
    </row>
    <row r="37" spans="1:7" x14ac:dyDescent="0.2">
      <c r="A37" s="15" t="s">
        <v>63</v>
      </c>
      <c r="B37" s="15" t="s">
        <v>57</v>
      </c>
      <c r="C37" s="15">
        <v>10165</v>
      </c>
      <c r="D37" s="16" t="s">
        <v>198</v>
      </c>
      <c r="E37" s="15">
        <v>10</v>
      </c>
      <c r="F37" s="15">
        <v>10</v>
      </c>
      <c r="G37" s="17">
        <v>1539</v>
      </c>
    </row>
    <row r="38" spans="1:7" x14ac:dyDescent="0.2">
      <c r="A38" s="15" t="s">
        <v>200</v>
      </c>
      <c r="B38" s="15" t="s">
        <v>201</v>
      </c>
      <c r="C38" s="15">
        <v>1145</v>
      </c>
      <c r="D38" s="18" t="s">
        <v>204</v>
      </c>
      <c r="E38" s="15" t="s">
        <v>205</v>
      </c>
      <c r="F38" s="15">
        <v>12</v>
      </c>
      <c r="G38" s="17">
        <v>1321</v>
      </c>
    </row>
    <row r="39" spans="1:7" x14ac:dyDescent="0.2">
      <c r="A39" s="15" t="s">
        <v>277</v>
      </c>
      <c r="B39" s="15" t="s">
        <v>281</v>
      </c>
      <c r="C39" s="15">
        <v>10028</v>
      </c>
      <c r="D39" s="18" t="s">
        <v>282</v>
      </c>
      <c r="E39" s="15" t="s">
        <v>283</v>
      </c>
      <c r="F39" s="15">
        <v>12</v>
      </c>
      <c r="G39" s="17">
        <v>1310</v>
      </c>
    </row>
    <row r="40" spans="1:7" x14ac:dyDescent="0.2">
      <c r="A40" s="15" t="s">
        <v>58</v>
      </c>
      <c r="B40" s="15" t="s">
        <v>57</v>
      </c>
      <c r="C40" s="15">
        <v>10161</v>
      </c>
      <c r="D40" s="18" t="s">
        <v>256</v>
      </c>
      <c r="E40" s="15">
        <v>25</v>
      </c>
      <c r="F40" s="15">
        <v>50</v>
      </c>
      <c r="G40" s="17">
        <v>1159</v>
      </c>
    </row>
    <row r="41" spans="1:7" x14ac:dyDescent="0.2">
      <c r="A41" s="15" t="s">
        <v>63</v>
      </c>
      <c r="B41" s="15" t="s">
        <v>57</v>
      </c>
      <c r="C41" s="15">
        <v>10164</v>
      </c>
      <c r="D41" s="16" t="s">
        <v>197</v>
      </c>
      <c r="E41" s="15">
        <v>6</v>
      </c>
      <c r="F41" s="15">
        <v>24</v>
      </c>
      <c r="G41" s="17">
        <v>1141</v>
      </c>
    </row>
    <row r="42" spans="1:7" x14ac:dyDescent="0.2">
      <c r="A42" s="15" t="s">
        <v>58</v>
      </c>
      <c r="B42" s="15" t="s">
        <v>57</v>
      </c>
      <c r="C42" s="15">
        <v>10481</v>
      </c>
      <c r="D42" s="18" t="s">
        <v>255</v>
      </c>
      <c r="E42" s="15">
        <v>50</v>
      </c>
      <c r="F42" s="15">
        <v>40</v>
      </c>
      <c r="G42" s="17">
        <v>1117</v>
      </c>
    </row>
    <row r="43" spans="1:7" x14ac:dyDescent="0.2">
      <c r="A43" s="15" t="s">
        <v>277</v>
      </c>
      <c r="B43" s="15" t="s">
        <v>136</v>
      </c>
      <c r="C43" s="15">
        <v>10595</v>
      </c>
      <c r="D43" s="18" t="s">
        <v>287</v>
      </c>
      <c r="E43" s="15" t="s">
        <v>245</v>
      </c>
      <c r="F43" s="15">
        <v>15</v>
      </c>
      <c r="G43" s="17">
        <v>1070</v>
      </c>
    </row>
    <row r="44" spans="1:7" x14ac:dyDescent="0.2">
      <c r="A44" s="15" t="s">
        <v>67</v>
      </c>
      <c r="B44" s="15" t="s">
        <v>243</v>
      </c>
      <c r="C44" s="15">
        <v>10052</v>
      </c>
      <c r="D44" s="18" t="s">
        <v>247</v>
      </c>
      <c r="E44" s="15" t="s">
        <v>245</v>
      </c>
      <c r="F44" s="15">
        <v>12</v>
      </c>
      <c r="G44" s="17">
        <v>979</v>
      </c>
    </row>
    <row r="45" spans="1:7" x14ac:dyDescent="0.2">
      <c r="A45" s="15" t="s">
        <v>277</v>
      </c>
      <c r="B45" s="15" t="s">
        <v>288</v>
      </c>
      <c r="C45" s="15">
        <v>10039</v>
      </c>
      <c r="D45" s="18" t="s">
        <v>289</v>
      </c>
      <c r="E45" s="15" t="s">
        <v>290</v>
      </c>
      <c r="F45" s="15">
        <v>8</v>
      </c>
      <c r="G45" s="17">
        <v>978</v>
      </c>
    </row>
    <row r="46" spans="1:7" x14ac:dyDescent="0.2">
      <c r="A46" s="15" t="s">
        <v>200</v>
      </c>
      <c r="B46" s="15" t="s">
        <v>218</v>
      </c>
      <c r="C46" s="15">
        <v>10011</v>
      </c>
      <c r="D46" s="18" t="s">
        <v>226</v>
      </c>
      <c r="E46" s="15" t="s">
        <v>225</v>
      </c>
      <c r="F46" s="15">
        <v>12</v>
      </c>
      <c r="G46" s="17">
        <v>915</v>
      </c>
    </row>
    <row r="47" spans="1:7" x14ac:dyDescent="0.2">
      <c r="A47" s="15" t="s">
        <v>200</v>
      </c>
      <c r="B47" s="15" t="s">
        <v>229</v>
      </c>
      <c r="C47" s="15">
        <v>5535</v>
      </c>
      <c r="D47" s="18" t="s">
        <v>230</v>
      </c>
      <c r="E47" s="15" t="s">
        <v>231</v>
      </c>
      <c r="F47" s="15">
        <v>48</v>
      </c>
      <c r="G47" s="17">
        <v>865</v>
      </c>
    </row>
    <row r="48" spans="1:7" x14ac:dyDescent="0.2">
      <c r="A48" s="15" t="s">
        <v>200</v>
      </c>
      <c r="B48" s="15" t="s">
        <v>201</v>
      </c>
      <c r="C48" s="15">
        <v>1150</v>
      </c>
      <c r="D48" s="18" t="s">
        <v>206</v>
      </c>
      <c r="E48" s="15" t="s">
        <v>203</v>
      </c>
      <c r="F48" s="15">
        <v>12</v>
      </c>
      <c r="G48" s="17">
        <v>766</v>
      </c>
    </row>
    <row r="49" spans="1:7" x14ac:dyDescent="0.2">
      <c r="A49" s="15" t="s">
        <v>58</v>
      </c>
      <c r="B49" s="15" t="s">
        <v>57</v>
      </c>
      <c r="C49" s="15">
        <v>10162</v>
      </c>
      <c r="D49" s="18" t="s">
        <v>259</v>
      </c>
      <c r="E49" s="15">
        <v>20</v>
      </c>
      <c r="F49" s="15">
        <v>40</v>
      </c>
      <c r="G49" s="17">
        <v>684</v>
      </c>
    </row>
    <row r="50" spans="1:7" x14ac:dyDescent="0.2">
      <c r="A50" s="15" t="s">
        <v>192</v>
      </c>
      <c r="B50" s="15" t="s">
        <v>193</v>
      </c>
      <c r="C50" s="15">
        <v>10151</v>
      </c>
      <c r="D50" s="16" t="s">
        <v>196</v>
      </c>
      <c r="E50" s="15">
        <v>1</v>
      </c>
      <c r="F50" s="15">
        <v>50</v>
      </c>
      <c r="G50" s="17">
        <v>680</v>
      </c>
    </row>
    <row r="51" spans="1:7" x14ac:dyDescent="0.2">
      <c r="A51" s="15" t="s">
        <v>58</v>
      </c>
      <c r="B51" s="15" t="s">
        <v>57</v>
      </c>
      <c r="C51" s="15">
        <v>10482</v>
      </c>
      <c r="D51" s="18" t="s">
        <v>257</v>
      </c>
      <c r="E51" s="15">
        <v>1</v>
      </c>
      <c r="F51" s="15">
        <v>24</v>
      </c>
      <c r="G51" s="17">
        <v>678</v>
      </c>
    </row>
    <row r="52" spans="1:7" x14ac:dyDescent="0.2">
      <c r="A52" s="15" t="s">
        <v>58</v>
      </c>
      <c r="B52" s="15" t="s">
        <v>57</v>
      </c>
      <c r="C52" s="15">
        <v>1255</v>
      </c>
      <c r="D52" s="18" t="s">
        <v>251</v>
      </c>
      <c r="E52" s="15">
        <v>1</v>
      </c>
      <c r="F52" s="15">
        <v>24</v>
      </c>
      <c r="G52" s="17">
        <v>659</v>
      </c>
    </row>
    <row r="53" spans="1:7" x14ac:dyDescent="0.2">
      <c r="A53" s="15" t="s">
        <v>200</v>
      </c>
      <c r="B53" s="15" t="s">
        <v>218</v>
      </c>
      <c r="C53" s="15">
        <v>10274</v>
      </c>
      <c r="D53" s="18" t="s">
        <v>219</v>
      </c>
      <c r="E53" s="15" t="s">
        <v>214</v>
      </c>
      <c r="F53" s="15">
        <v>12</v>
      </c>
      <c r="G53" s="17">
        <v>561</v>
      </c>
    </row>
    <row r="54" spans="1:7" x14ac:dyDescent="0.2">
      <c r="A54" s="15" t="s">
        <v>58</v>
      </c>
      <c r="B54" s="15" t="s">
        <v>57</v>
      </c>
      <c r="C54" s="15">
        <v>1285</v>
      </c>
      <c r="D54" s="18" t="s">
        <v>248</v>
      </c>
      <c r="E54" s="15">
        <v>5</v>
      </c>
      <c r="F54" s="15">
        <v>20</v>
      </c>
      <c r="G54" s="17">
        <v>556</v>
      </c>
    </row>
    <row r="55" spans="1:7" x14ac:dyDescent="0.2">
      <c r="A55" s="15" t="s">
        <v>200</v>
      </c>
      <c r="B55" s="15" t="s">
        <v>218</v>
      </c>
      <c r="C55" s="15">
        <v>10012</v>
      </c>
      <c r="D55" s="18" t="s">
        <v>227</v>
      </c>
      <c r="E55" s="15" t="s">
        <v>225</v>
      </c>
      <c r="F55" s="15">
        <v>12</v>
      </c>
      <c r="G55" s="17">
        <v>519</v>
      </c>
    </row>
    <row r="56" spans="1:7" x14ac:dyDescent="0.2">
      <c r="A56" s="15" t="s">
        <v>58</v>
      </c>
      <c r="B56" s="15" t="s">
        <v>57</v>
      </c>
      <c r="C56" s="15">
        <v>1300</v>
      </c>
      <c r="D56" s="18" t="s">
        <v>249</v>
      </c>
      <c r="E56" s="15">
        <v>12</v>
      </c>
      <c r="F56" s="15">
        <v>40</v>
      </c>
      <c r="G56" s="17">
        <v>473</v>
      </c>
    </row>
    <row r="57" spans="1:7" x14ac:dyDescent="0.2">
      <c r="A57" s="15" t="s">
        <v>58</v>
      </c>
      <c r="B57" s="15" t="s">
        <v>57</v>
      </c>
      <c r="C57" s="15">
        <v>10591</v>
      </c>
      <c r="D57" s="18" t="s">
        <v>258</v>
      </c>
      <c r="E57" s="15">
        <v>8</v>
      </c>
      <c r="F57" s="15">
        <v>20</v>
      </c>
      <c r="G57" s="17">
        <v>420</v>
      </c>
    </row>
    <row r="58" spans="1:7" x14ac:dyDescent="0.2">
      <c r="A58" s="15" t="s">
        <v>200</v>
      </c>
      <c r="B58" s="15" t="s">
        <v>207</v>
      </c>
      <c r="C58" s="15">
        <v>10404</v>
      </c>
      <c r="D58" s="18" t="s">
        <v>220</v>
      </c>
      <c r="E58" s="15" t="s">
        <v>214</v>
      </c>
      <c r="F58" s="15">
        <v>12</v>
      </c>
      <c r="G58" s="17">
        <v>392</v>
      </c>
    </row>
    <row r="59" spans="1:7" x14ac:dyDescent="0.2">
      <c r="A59" s="15" t="s">
        <v>200</v>
      </c>
      <c r="B59" s="15" t="s">
        <v>207</v>
      </c>
      <c r="C59" s="15">
        <v>10404</v>
      </c>
      <c r="D59" s="18" t="s">
        <v>213</v>
      </c>
      <c r="E59" s="15" t="s">
        <v>214</v>
      </c>
      <c r="F59" s="15">
        <v>12</v>
      </c>
      <c r="G59" s="17">
        <v>367</v>
      </c>
    </row>
    <row r="60" spans="1:7" x14ac:dyDescent="0.2">
      <c r="A60" s="15" t="s">
        <v>200</v>
      </c>
      <c r="B60" s="15" t="s">
        <v>207</v>
      </c>
      <c r="C60" s="15">
        <v>10190</v>
      </c>
      <c r="D60" s="18" t="s">
        <v>215</v>
      </c>
      <c r="E60" s="15" t="s">
        <v>214</v>
      </c>
      <c r="F60" s="15">
        <v>12</v>
      </c>
      <c r="G60" s="17">
        <v>299</v>
      </c>
    </row>
    <row r="61" spans="1:7" x14ac:dyDescent="0.2">
      <c r="A61" s="15" t="s">
        <v>232</v>
      </c>
      <c r="B61" s="15" t="s">
        <v>82</v>
      </c>
      <c r="C61" s="15">
        <v>1190</v>
      </c>
      <c r="D61" s="18" t="s">
        <v>238</v>
      </c>
      <c r="E61" s="15" t="s">
        <v>209</v>
      </c>
      <c r="F61" s="15">
        <v>24</v>
      </c>
      <c r="G61" s="17">
        <v>274</v>
      </c>
    </row>
    <row r="62" spans="1:7" x14ac:dyDescent="0.2">
      <c r="A62" s="15" t="s">
        <v>192</v>
      </c>
      <c r="B62" s="15" t="s">
        <v>193</v>
      </c>
      <c r="C62" s="15">
        <v>10150</v>
      </c>
      <c r="D62" s="16" t="s">
        <v>195</v>
      </c>
      <c r="E62" s="15">
        <v>1</v>
      </c>
      <c r="F62" s="15">
        <v>50</v>
      </c>
      <c r="G62" s="17">
        <v>271</v>
      </c>
    </row>
    <row r="63" spans="1:7" x14ac:dyDescent="0.2">
      <c r="A63" s="15" t="s">
        <v>58</v>
      </c>
      <c r="B63" s="15" t="s">
        <v>57</v>
      </c>
      <c r="C63" s="15">
        <v>1265</v>
      </c>
      <c r="D63" s="18" t="s">
        <v>254</v>
      </c>
      <c r="E63" s="15" t="s">
        <v>253</v>
      </c>
      <c r="F63" s="15">
        <v>72</v>
      </c>
      <c r="G63" s="17">
        <v>217</v>
      </c>
    </row>
    <row r="64" spans="1:7" x14ac:dyDescent="0.2">
      <c r="A64" s="15" t="s">
        <v>58</v>
      </c>
      <c r="B64" s="15" t="s">
        <v>57</v>
      </c>
      <c r="C64" s="15">
        <v>1270</v>
      </c>
      <c r="D64" s="18" t="s">
        <v>252</v>
      </c>
      <c r="E64" s="15" t="s">
        <v>253</v>
      </c>
      <c r="F64" s="15">
        <v>72</v>
      </c>
      <c r="G64" s="17">
        <v>197</v>
      </c>
    </row>
    <row r="65" spans="1:7" x14ac:dyDescent="0.2">
      <c r="A65" s="15" t="s">
        <v>200</v>
      </c>
      <c r="B65" s="15" t="s">
        <v>207</v>
      </c>
      <c r="C65" s="15">
        <v>1160</v>
      </c>
      <c r="D65" s="18" t="s">
        <v>208</v>
      </c>
      <c r="E65" s="15" t="s">
        <v>209</v>
      </c>
      <c r="F65" s="15">
        <v>12</v>
      </c>
      <c r="G65" s="17">
        <v>124</v>
      </c>
    </row>
    <row r="66" spans="1:7" x14ac:dyDescent="0.2">
      <c r="A66" s="15" t="s">
        <v>232</v>
      </c>
      <c r="B66" s="15" t="s">
        <v>82</v>
      </c>
      <c r="C66" s="15">
        <v>1180</v>
      </c>
      <c r="D66" s="18" t="s">
        <v>239</v>
      </c>
      <c r="E66" s="15" t="s">
        <v>209</v>
      </c>
      <c r="F66" s="15">
        <v>24</v>
      </c>
      <c r="G66" s="17">
        <v>104</v>
      </c>
    </row>
    <row r="67" spans="1:7" x14ac:dyDescent="0.2">
      <c r="A67" s="15" t="s">
        <v>63</v>
      </c>
      <c r="B67" s="15" t="s">
        <v>57</v>
      </c>
      <c r="C67" s="15">
        <v>10515</v>
      </c>
      <c r="D67" s="18" t="s">
        <v>199</v>
      </c>
      <c r="E67" s="15">
        <v>3</v>
      </c>
      <c r="F67" s="15">
        <v>20</v>
      </c>
      <c r="G67" s="17">
        <v>67</v>
      </c>
    </row>
    <row r="68" spans="1:7" x14ac:dyDescent="0.2">
      <c r="A68" s="15" t="s">
        <v>200</v>
      </c>
      <c r="B68" s="15" t="s">
        <v>207</v>
      </c>
      <c r="C68" s="15">
        <v>10191</v>
      </c>
      <c r="D68" s="18" t="s">
        <v>216</v>
      </c>
      <c r="E68" s="15" t="s">
        <v>217</v>
      </c>
      <c r="F68" s="15">
        <v>12</v>
      </c>
      <c r="G68" s="17">
        <v>0</v>
      </c>
    </row>
  </sheetData>
  <autoFilter ref="A1:G68" xr:uid="{A7934D6C-2A17-4177-9820-6ECEFEA95E7C}">
    <sortState xmlns:xlrd2="http://schemas.microsoft.com/office/spreadsheetml/2017/richdata2" ref="A4:G68">
      <sortCondition descending="1" ref="G1:G68"/>
    </sortState>
  </autoFilter>
  <sortState xmlns:xlrd2="http://schemas.microsoft.com/office/spreadsheetml/2017/richdata2" ref="A4:G68">
    <sortCondition ref="C3:C68"/>
  </sortState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9342-FE40-40FB-8C8B-9D8F8B797216}">
  <dimension ref="A1:O175"/>
  <sheetViews>
    <sheetView zoomScale="250" zoomScaleNormal="250" workbookViewId="0">
      <pane ySplit="1" topLeftCell="A17" activePane="bottomLeft" state="frozen"/>
      <selection pane="bottomLeft" activeCell="F18" sqref="F18"/>
    </sheetView>
  </sheetViews>
  <sheetFormatPr defaultRowHeight="15" x14ac:dyDescent="0.25"/>
  <cols>
    <col min="1" max="1" width="13.7109375" bestFit="1" customWidth="1"/>
    <col min="2" max="2" width="47.5703125" bestFit="1" customWidth="1"/>
    <col min="3" max="3" width="12.85546875" bestFit="1" customWidth="1"/>
    <col min="4" max="4" width="19.28515625" customWidth="1"/>
    <col min="5" max="9" width="11.5703125" customWidth="1"/>
    <col min="10" max="10" width="26.85546875" bestFit="1" customWidth="1"/>
    <col min="11" max="15" width="11.5703125" customWidth="1"/>
  </cols>
  <sheetData>
    <row r="1" spans="1:15" ht="39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5">
        <v>2075</v>
      </c>
      <c r="B2" s="5" t="s">
        <v>120</v>
      </c>
      <c r="C2" s="5" t="s">
        <v>117</v>
      </c>
      <c r="D2" s="5" t="s">
        <v>104</v>
      </c>
      <c r="E2" s="6" t="s">
        <v>18</v>
      </c>
      <c r="F2" s="10">
        <v>10</v>
      </c>
      <c r="G2" s="10">
        <v>120</v>
      </c>
      <c r="H2" s="8" t="s">
        <v>19</v>
      </c>
      <c r="I2" s="8" t="s">
        <v>20</v>
      </c>
      <c r="J2" s="8" t="s">
        <v>28</v>
      </c>
      <c r="K2" s="6" t="s">
        <v>29</v>
      </c>
      <c r="L2" s="6" t="s">
        <v>23</v>
      </c>
      <c r="M2" s="6">
        <v>55</v>
      </c>
      <c r="N2" s="6" t="s">
        <v>24</v>
      </c>
      <c r="O2" s="6">
        <v>1</v>
      </c>
    </row>
    <row r="3" spans="1:15" x14ac:dyDescent="0.25">
      <c r="A3" s="5">
        <v>2075</v>
      </c>
      <c r="B3" s="5" t="s">
        <v>120</v>
      </c>
      <c r="C3" s="5" t="s">
        <v>117</v>
      </c>
      <c r="D3" s="5" t="s">
        <v>104</v>
      </c>
      <c r="E3" s="6" t="s">
        <v>18</v>
      </c>
      <c r="F3" s="10">
        <v>10</v>
      </c>
      <c r="G3" s="10">
        <v>120</v>
      </c>
      <c r="H3" s="8" t="s">
        <v>27</v>
      </c>
      <c r="I3" s="8" t="s">
        <v>20</v>
      </c>
      <c r="J3" s="8" t="s">
        <v>28</v>
      </c>
      <c r="K3" s="6" t="s">
        <v>29</v>
      </c>
      <c r="L3" s="6" t="s">
        <v>23</v>
      </c>
      <c r="M3" s="6">
        <v>250</v>
      </c>
      <c r="N3" s="6" t="s">
        <v>24</v>
      </c>
      <c r="O3" s="6">
        <v>1</v>
      </c>
    </row>
    <row r="4" spans="1:15" x14ac:dyDescent="0.25">
      <c r="A4" s="5">
        <v>2075</v>
      </c>
      <c r="B4" s="5" t="s">
        <v>120</v>
      </c>
      <c r="C4" s="5" t="s">
        <v>117</v>
      </c>
      <c r="D4" s="5" t="s">
        <v>104</v>
      </c>
      <c r="E4" s="6" t="s">
        <v>18</v>
      </c>
      <c r="F4" s="10">
        <v>10</v>
      </c>
      <c r="G4" s="10">
        <v>120</v>
      </c>
      <c r="H4" s="6" t="s">
        <v>38</v>
      </c>
      <c r="I4" s="6" t="s">
        <v>30</v>
      </c>
      <c r="J4" s="6" t="s">
        <v>31</v>
      </c>
      <c r="K4" s="6" t="s">
        <v>32</v>
      </c>
      <c r="L4" s="6" t="s">
        <v>23</v>
      </c>
      <c r="M4" s="6">
        <v>200</v>
      </c>
      <c r="N4" s="6" t="s">
        <v>24</v>
      </c>
      <c r="O4" s="6">
        <v>1</v>
      </c>
    </row>
    <row r="5" spans="1:15" x14ac:dyDescent="0.25">
      <c r="A5" s="5">
        <v>2075</v>
      </c>
      <c r="B5" s="5" t="s">
        <v>120</v>
      </c>
      <c r="C5" s="5" t="s">
        <v>117</v>
      </c>
      <c r="D5" s="5" t="s">
        <v>104</v>
      </c>
      <c r="E5" s="6" t="s">
        <v>18</v>
      </c>
      <c r="F5" s="10">
        <v>10</v>
      </c>
      <c r="G5" s="10">
        <v>120</v>
      </c>
      <c r="H5" s="6" t="s">
        <v>38</v>
      </c>
      <c r="I5" s="6" t="s">
        <v>121</v>
      </c>
      <c r="J5" s="6" t="s">
        <v>121</v>
      </c>
      <c r="K5" s="6" t="s">
        <v>122</v>
      </c>
      <c r="L5" s="6" t="s">
        <v>23</v>
      </c>
      <c r="M5" s="6">
        <v>16000</v>
      </c>
      <c r="N5" s="6" t="s">
        <v>24</v>
      </c>
      <c r="O5" s="6">
        <v>1</v>
      </c>
    </row>
    <row r="6" spans="1:15" x14ac:dyDescent="0.25">
      <c r="A6" s="5">
        <v>2255</v>
      </c>
      <c r="B6" s="5" t="s">
        <v>123</v>
      </c>
      <c r="C6" s="5" t="s">
        <v>117</v>
      </c>
      <c r="D6" s="5" t="s">
        <v>124</v>
      </c>
      <c r="E6" s="6" t="s">
        <v>18</v>
      </c>
      <c r="F6" s="10">
        <v>4</v>
      </c>
      <c r="G6" s="10">
        <v>60</v>
      </c>
      <c r="H6" s="8" t="s">
        <v>19</v>
      </c>
      <c r="I6" s="8" t="s">
        <v>20</v>
      </c>
      <c r="J6" s="8" t="s">
        <v>28</v>
      </c>
      <c r="K6" s="6" t="s">
        <v>29</v>
      </c>
      <c r="L6" s="6" t="s">
        <v>23</v>
      </c>
      <c r="M6" s="6">
        <v>2.1</v>
      </c>
      <c r="N6" s="6" t="s">
        <v>24</v>
      </c>
      <c r="O6" s="6">
        <v>1</v>
      </c>
    </row>
    <row r="7" spans="1:15" x14ac:dyDescent="0.25">
      <c r="A7" s="5">
        <v>2255</v>
      </c>
      <c r="B7" s="5" t="s">
        <v>123</v>
      </c>
      <c r="C7" s="5" t="s">
        <v>117</v>
      </c>
      <c r="D7" s="5" t="s">
        <v>124</v>
      </c>
      <c r="E7" s="6" t="s">
        <v>18</v>
      </c>
      <c r="F7" s="10">
        <v>4</v>
      </c>
      <c r="G7" s="10">
        <v>60</v>
      </c>
      <c r="H7" s="8" t="s">
        <v>27</v>
      </c>
      <c r="I7" s="8" t="s">
        <v>20</v>
      </c>
      <c r="J7" s="8" t="s">
        <v>28</v>
      </c>
      <c r="K7" s="6" t="s">
        <v>29</v>
      </c>
      <c r="L7" s="6" t="s">
        <v>23</v>
      </c>
      <c r="M7" s="6">
        <v>330</v>
      </c>
      <c r="N7" s="6" t="s">
        <v>24</v>
      </c>
      <c r="O7" s="6">
        <v>1</v>
      </c>
    </row>
    <row r="8" spans="1:15" x14ac:dyDescent="0.25">
      <c r="A8" s="5">
        <v>2260</v>
      </c>
      <c r="B8" s="5" t="s">
        <v>125</v>
      </c>
      <c r="C8" s="5" t="s">
        <v>117</v>
      </c>
      <c r="D8" s="5" t="s">
        <v>104</v>
      </c>
      <c r="E8" s="6" t="s">
        <v>18</v>
      </c>
      <c r="F8" s="10">
        <v>10</v>
      </c>
      <c r="G8" s="10">
        <v>120</v>
      </c>
      <c r="H8" s="8" t="s">
        <v>19</v>
      </c>
      <c r="I8" s="8" t="s">
        <v>20</v>
      </c>
      <c r="J8" s="8" t="s">
        <v>28</v>
      </c>
      <c r="K8" s="6" t="s">
        <v>29</v>
      </c>
      <c r="L8" s="6" t="s">
        <v>23</v>
      </c>
      <c r="M8" s="6">
        <v>55</v>
      </c>
      <c r="N8" s="6" t="s">
        <v>24</v>
      </c>
      <c r="O8" s="6">
        <v>1</v>
      </c>
    </row>
    <row r="9" spans="1:15" x14ac:dyDescent="0.25">
      <c r="A9" s="5">
        <v>2260</v>
      </c>
      <c r="B9" s="5" t="s">
        <v>125</v>
      </c>
      <c r="C9" s="5" t="s">
        <v>117</v>
      </c>
      <c r="D9" s="5" t="s">
        <v>104</v>
      </c>
      <c r="E9" s="6" t="s">
        <v>18</v>
      </c>
      <c r="F9" s="10">
        <v>10</v>
      </c>
      <c r="G9" s="10">
        <v>120</v>
      </c>
      <c r="H9" s="8" t="s">
        <v>27</v>
      </c>
      <c r="I9" s="8" t="s">
        <v>20</v>
      </c>
      <c r="J9" s="8" t="s">
        <v>28</v>
      </c>
      <c r="K9" s="6" t="s">
        <v>29</v>
      </c>
      <c r="L9" s="6" t="s">
        <v>23</v>
      </c>
      <c r="M9" s="6">
        <v>250</v>
      </c>
      <c r="N9" s="6" t="s">
        <v>24</v>
      </c>
      <c r="O9" s="6">
        <v>1</v>
      </c>
    </row>
    <row r="10" spans="1:15" x14ac:dyDescent="0.25">
      <c r="A10" s="5">
        <v>2260</v>
      </c>
      <c r="B10" s="5" t="s">
        <v>125</v>
      </c>
      <c r="C10" s="5" t="s">
        <v>117</v>
      </c>
      <c r="D10" s="5" t="s">
        <v>104</v>
      </c>
      <c r="E10" s="6" t="s">
        <v>18</v>
      </c>
      <c r="F10" s="10">
        <v>10</v>
      </c>
      <c r="G10" s="10">
        <v>120</v>
      </c>
      <c r="H10" s="6" t="s">
        <v>38</v>
      </c>
      <c r="I10" s="6" t="s">
        <v>30</v>
      </c>
      <c r="J10" s="6" t="s">
        <v>31</v>
      </c>
      <c r="K10" s="6" t="s">
        <v>32</v>
      </c>
      <c r="L10" s="6" t="s">
        <v>23</v>
      </c>
      <c r="M10" s="6">
        <v>200</v>
      </c>
      <c r="N10" s="6" t="s">
        <v>24</v>
      </c>
      <c r="O10" s="6">
        <v>1</v>
      </c>
    </row>
    <row r="11" spans="1:15" x14ac:dyDescent="0.25">
      <c r="A11" s="5">
        <v>2260</v>
      </c>
      <c r="B11" s="5" t="s">
        <v>125</v>
      </c>
      <c r="C11" s="5" t="s">
        <v>117</v>
      </c>
      <c r="D11" s="5" t="s">
        <v>104</v>
      </c>
      <c r="E11" s="6" t="s">
        <v>18</v>
      </c>
      <c r="F11" s="10">
        <v>10</v>
      </c>
      <c r="G11" s="10">
        <v>120</v>
      </c>
      <c r="H11" s="6" t="s">
        <v>38</v>
      </c>
      <c r="I11" s="6" t="s">
        <v>121</v>
      </c>
      <c r="J11" s="6" t="s">
        <v>121</v>
      </c>
      <c r="K11" s="6" t="s">
        <v>122</v>
      </c>
      <c r="L11" s="6" t="s">
        <v>23</v>
      </c>
      <c r="M11" s="6">
        <v>16000</v>
      </c>
      <c r="N11" s="6" t="s">
        <v>24</v>
      </c>
      <c r="O11" s="6">
        <v>1</v>
      </c>
    </row>
    <row r="12" spans="1:15" x14ac:dyDescent="0.25">
      <c r="A12" s="5">
        <v>2305</v>
      </c>
      <c r="B12" s="5" t="s">
        <v>126</v>
      </c>
      <c r="C12" s="5" t="s">
        <v>117</v>
      </c>
      <c r="D12" s="5" t="s">
        <v>104</v>
      </c>
      <c r="E12" s="6" t="s">
        <v>18</v>
      </c>
      <c r="F12" s="10">
        <v>10</v>
      </c>
      <c r="G12" s="10">
        <v>120</v>
      </c>
      <c r="H12" s="8" t="s">
        <v>19</v>
      </c>
      <c r="I12" s="8" t="s">
        <v>20</v>
      </c>
      <c r="J12" s="8" t="s">
        <v>28</v>
      </c>
      <c r="K12" s="6" t="s">
        <v>29</v>
      </c>
      <c r="L12" s="6" t="s">
        <v>23</v>
      </c>
      <c r="M12" s="6">
        <v>55</v>
      </c>
      <c r="N12" s="6" t="s">
        <v>24</v>
      </c>
      <c r="O12" s="6">
        <v>1</v>
      </c>
    </row>
    <row r="13" spans="1:15" x14ac:dyDescent="0.25">
      <c r="A13" s="5">
        <v>2305</v>
      </c>
      <c r="B13" s="5" t="s">
        <v>126</v>
      </c>
      <c r="C13" s="5" t="s">
        <v>117</v>
      </c>
      <c r="D13" s="5" t="s">
        <v>104</v>
      </c>
      <c r="E13" s="6" t="s">
        <v>18</v>
      </c>
      <c r="F13" s="10">
        <v>10</v>
      </c>
      <c r="G13" s="10">
        <v>120</v>
      </c>
      <c r="H13" s="8" t="s">
        <v>27</v>
      </c>
      <c r="I13" s="8" t="s">
        <v>20</v>
      </c>
      <c r="J13" s="8" t="s">
        <v>28</v>
      </c>
      <c r="K13" s="6" t="s">
        <v>29</v>
      </c>
      <c r="L13" s="6" t="s">
        <v>23</v>
      </c>
      <c r="M13" s="6">
        <v>250</v>
      </c>
      <c r="N13" s="6" t="s">
        <v>24</v>
      </c>
      <c r="O13" s="6">
        <v>1</v>
      </c>
    </row>
    <row r="14" spans="1:15" x14ac:dyDescent="0.25">
      <c r="A14" s="5">
        <v>2305</v>
      </c>
      <c r="B14" s="5" t="s">
        <v>126</v>
      </c>
      <c r="C14" s="5" t="s">
        <v>117</v>
      </c>
      <c r="D14" s="5" t="s">
        <v>104</v>
      </c>
      <c r="E14" s="6" t="s">
        <v>18</v>
      </c>
      <c r="F14" s="10">
        <v>10</v>
      </c>
      <c r="G14" s="10">
        <v>120</v>
      </c>
      <c r="H14" s="6" t="s">
        <v>38</v>
      </c>
      <c r="I14" s="6" t="s">
        <v>30</v>
      </c>
      <c r="J14" s="6" t="s">
        <v>31</v>
      </c>
      <c r="K14" s="6" t="s">
        <v>32</v>
      </c>
      <c r="L14" s="6" t="s">
        <v>23</v>
      </c>
      <c r="M14" s="6">
        <v>200</v>
      </c>
      <c r="N14" s="6" t="s">
        <v>24</v>
      </c>
      <c r="O14" s="6">
        <v>1</v>
      </c>
    </row>
    <row r="15" spans="1:15" x14ac:dyDescent="0.25">
      <c r="A15" s="5">
        <v>2305</v>
      </c>
      <c r="B15" s="5" t="s">
        <v>126</v>
      </c>
      <c r="C15" s="5" t="s">
        <v>117</v>
      </c>
      <c r="D15" s="5" t="s">
        <v>104</v>
      </c>
      <c r="E15" s="6" t="s">
        <v>18</v>
      </c>
      <c r="F15" s="10">
        <v>10</v>
      </c>
      <c r="G15" s="10">
        <v>120</v>
      </c>
      <c r="H15" s="6" t="s">
        <v>38</v>
      </c>
      <c r="I15" s="6" t="s">
        <v>121</v>
      </c>
      <c r="J15" s="6" t="s">
        <v>121</v>
      </c>
      <c r="K15" s="6" t="s">
        <v>122</v>
      </c>
      <c r="L15" s="6" t="s">
        <v>23</v>
      </c>
      <c r="M15" s="6">
        <v>16000</v>
      </c>
      <c r="N15" s="6" t="s">
        <v>24</v>
      </c>
      <c r="O15" s="6">
        <v>1</v>
      </c>
    </row>
    <row r="16" spans="1:15" x14ac:dyDescent="0.25">
      <c r="A16" s="5">
        <v>2310</v>
      </c>
      <c r="B16" s="5" t="s">
        <v>127</v>
      </c>
      <c r="C16" s="5" t="s">
        <v>117</v>
      </c>
      <c r="D16" s="5" t="s">
        <v>104</v>
      </c>
      <c r="E16" s="6" t="s">
        <v>18</v>
      </c>
      <c r="F16" s="10">
        <v>10</v>
      </c>
      <c r="G16" s="10">
        <v>120</v>
      </c>
      <c r="H16" s="8" t="s">
        <v>19</v>
      </c>
      <c r="I16" s="8" t="s">
        <v>20</v>
      </c>
      <c r="J16" s="8" t="s">
        <v>28</v>
      </c>
      <c r="K16" s="6" t="s">
        <v>29</v>
      </c>
      <c r="L16" s="6" t="s">
        <v>23</v>
      </c>
      <c r="M16" s="6">
        <v>55</v>
      </c>
      <c r="N16" s="6" t="s">
        <v>24</v>
      </c>
      <c r="O16" s="6">
        <v>1</v>
      </c>
    </row>
    <row r="17" spans="1:15" x14ac:dyDescent="0.25">
      <c r="A17" s="5">
        <v>2310</v>
      </c>
      <c r="B17" s="5" t="s">
        <v>127</v>
      </c>
      <c r="C17" s="5" t="s">
        <v>117</v>
      </c>
      <c r="D17" s="5" t="s">
        <v>104</v>
      </c>
      <c r="E17" s="6" t="s">
        <v>18</v>
      </c>
      <c r="F17" s="10">
        <v>10</v>
      </c>
      <c r="G17" s="10">
        <v>120</v>
      </c>
      <c r="H17" s="8" t="s">
        <v>27</v>
      </c>
      <c r="I17" s="8" t="s">
        <v>20</v>
      </c>
      <c r="J17" s="8" t="s">
        <v>28</v>
      </c>
      <c r="K17" s="6" t="s">
        <v>29</v>
      </c>
      <c r="L17" s="6" t="s">
        <v>23</v>
      </c>
      <c r="M17" s="6">
        <v>250</v>
      </c>
      <c r="N17" s="6" t="s">
        <v>24</v>
      </c>
      <c r="O17" s="6">
        <v>1</v>
      </c>
    </row>
    <row r="18" spans="1:15" x14ac:dyDescent="0.25">
      <c r="A18" s="5">
        <v>2310</v>
      </c>
      <c r="B18" s="5" t="s">
        <v>127</v>
      </c>
      <c r="C18" s="5" t="s">
        <v>117</v>
      </c>
      <c r="D18" s="5" t="s">
        <v>104</v>
      </c>
      <c r="E18" s="6" t="s">
        <v>18</v>
      </c>
      <c r="F18" s="10">
        <v>10</v>
      </c>
      <c r="G18" s="10">
        <v>120</v>
      </c>
      <c r="H18" s="6" t="s">
        <v>38</v>
      </c>
      <c r="I18" s="6" t="s">
        <v>30</v>
      </c>
      <c r="J18" s="6" t="s">
        <v>31</v>
      </c>
      <c r="K18" s="6" t="s">
        <v>32</v>
      </c>
      <c r="L18" s="6" t="s">
        <v>23</v>
      </c>
      <c r="M18" s="6">
        <v>200</v>
      </c>
      <c r="N18" s="6" t="s">
        <v>24</v>
      </c>
      <c r="O18" s="6">
        <v>1</v>
      </c>
    </row>
    <row r="19" spans="1:15" x14ac:dyDescent="0.25">
      <c r="A19" s="5">
        <v>2310</v>
      </c>
      <c r="B19" s="5" t="s">
        <v>127</v>
      </c>
      <c r="C19" s="5" t="s">
        <v>117</v>
      </c>
      <c r="D19" s="5" t="s">
        <v>104</v>
      </c>
      <c r="E19" s="6" t="s">
        <v>18</v>
      </c>
      <c r="F19" s="10">
        <v>10</v>
      </c>
      <c r="G19" s="10">
        <v>120</v>
      </c>
      <c r="H19" s="6" t="s">
        <v>38</v>
      </c>
      <c r="I19" s="6" t="s">
        <v>121</v>
      </c>
      <c r="J19" s="6" t="s">
        <v>121</v>
      </c>
      <c r="K19" s="6" t="s">
        <v>122</v>
      </c>
      <c r="L19" s="6" t="s">
        <v>23</v>
      </c>
      <c r="M19" s="6">
        <v>16000</v>
      </c>
      <c r="N19" s="6" t="s">
        <v>24</v>
      </c>
      <c r="O19" s="6">
        <v>1</v>
      </c>
    </row>
    <row r="20" spans="1:15" x14ac:dyDescent="0.25">
      <c r="A20" s="5">
        <v>2385</v>
      </c>
      <c r="B20" s="5" t="s">
        <v>128</v>
      </c>
      <c r="C20" s="5" t="s">
        <v>117</v>
      </c>
      <c r="D20" s="5" t="s">
        <v>104</v>
      </c>
      <c r="E20" s="6" t="s">
        <v>18</v>
      </c>
      <c r="F20" s="10">
        <v>10</v>
      </c>
      <c r="G20" s="10">
        <v>120</v>
      </c>
      <c r="H20" s="8" t="s">
        <v>19</v>
      </c>
      <c r="I20" s="8" t="s">
        <v>20</v>
      </c>
      <c r="J20" s="8" t="s">
        <v>28</v>
      </c>
      <c r="K20" s="6" t="s">
        <v>29</v>
      </c>
      <c r="L20" s="6" t="s">
        <v>23</v>
      </c>
      <c r="M20" s="6">
        <v>55</v>
      </c>
      <c r="N20" s="6" t="s">
        <v>24</v>
      </c>
      <c r="O20" s="6">
        <v>1</v>
      </c>
    </row>
    <row r="21" spans="1:15" x14ac:dyDescent="0.25">
      <c r="A21" s="5">
        <v>2385</v>
      </c>
      <c r="B21" s="5" t="s">
        <v>128</v>
      </c>
      <c r="C21" s="5" t="s">
        <v>117</v>
      </c>
      <c r="D21" s="5" t="s">
        <v>104</v>
      </c>
      <c r="E21" s="6" t="s">
        <v>18</v>
      </c>
      <c r="F21" s="10">
        <v>10</v>
      </c>
      <c r="G21" s="10">
        <v>120</v>
      </c>
      <c r="H21" s="8" t="s">
        <v>27</v>
      </c>
      <c r="I21" s="8" t="s">
        <v>20</v>
      </c>
      <c r="J21" s="8" t="s">
        <v>28</v>
      </c>
      <c r="K21" s="6" t="s">
        <v>29</v>
      </c>
      <c r="L21" s="6" t="s">
        <v>23</v>
      </c>
      <c r="M21" s="6">
        <v>250</v>
      </c>
      <c r="N21" s="6" t="s">
        <v>24</v>
      </c>
      <c r="O21" s="6">
        <v>1</v>
      </c>
    </row>
    <row r="22" spans="1:15" x14ac:dyDescent="0.25">
      <c r="A22" s="5">
        <v>2385</v>
      </c>
      <c r="B22" s="5" t="s">
        <v>128</v>
      </c>
      <c r="C22" s="5" t="s">
        <v>117</v>
      </c>
      <c r="D22" s="5" t="s">
        <v>104</v>
      </c>
      <c r="E22" s="6" t="s">
        <v>18</v>
      </c>
      <c r="F22" s="10">
        <v>10</v>
      </c>
      <c r="G22" s="10">
        <v>120</v>
      </c>
      <c r="H22" s="6" t="s">
        <v>38</v>
      </c>
      <c r="I22" s="6" t="s">
        <v>30</v>
      </c>
      <c r="J22" s="6" t="s">
        <v>31</v>
      </c>
      <c r="K22" s="6" t="s">
        <v>32</v>
      </c>
      <c r="L22" s="6" t="s">
        <v>23</v>
      </c>
      <c r="M22" s="6">
        <v>200</v>
      </c>
      <c r="N22" s="6" t="s">
        <v>24</v>
      </c>
      <c r="O22" s="6">
        <v>1</v>
      </c>
    </row>
    <row r="23" spans="1:15" x14ac:dyDescent="0.25">
      <c r="A23" s="5">
        <v>2385</v>
      </c>
      <c r="B23" s="5" t="s">
        <v>128</v>
      </c>
      <c r="C23" s="5" t="s">
        <v>117</v>
      </c>
      <c r="D23" s="5" t="s">
        <v>104</v>
      </c>
      <c r="E23" s="6" t="s">
        <v>18</v>
      </c>
      <c r="F23" s="10">
        <v>10</v>
      </c>
      <c r="G23" s="10">
        <v>120</v>
      </c>
      <c r="H23" s="6" t="s">
        <v>38</v>
      </c>
      <c r="I23" s="6" t="s">
        <v>121</v>
      </c>
      <c r="J23" s="6" t="s">
        <v>121</v>
      </c>
      <c r="K23" s="6" t="s">
        <v>122</v>
      </c>
      <c r="L23" s="6" t="s">
        <v>23</v>
      </c>
      <c r="M23" s="6">
        <v>16000</v>
      </c>
      <c r="N23" s="6" t="s">
        <v>24</v>
      </c>
      <c r="O23" s="6">
        <v>1</v>
      </c>
    </row>
    <row r="24" spans="1:15" x14ac:dyDescent="0.25">
      <c r="A24" s="5">
        <v>2395</v>
      </c>
      <c r="B24" s="5" t="s">
        <v>129</v>
      </c>
      <c r="C24" s="5" t="s">
        <v>117</v>
      </c>
      <c r="D24" s="5" t="s">
        <v>104</v>
      </c>
      <c r="E24" s="6" t="s">
        <v>18</v>
      </c>
      <c r="F24" s="10">
        <v>10</v>
      </c>
      <c r="G24" s="10">
        <v>120</v>
      </c>
      <c r="H24" s="8" t="s">
        <v>19</v>
      </c>
      <c r="I24" s="8" t="s">
        <v>20</v>
      </c>
      <c r="J24" s="8" t="s">
        <v>28</v>
      </c>
      <c r="K24" s="6" t="s">
        <v>29</v>
      </c>
      <c r="L24" s="6" t="s">
        <v>23</v>
      </c>
      <c r="M24" s="6">
        <v>55</v>
      </c>
      <c r="N24" s="6" t="s">
        <v>24</v>
      </c>
      <c r="O24" s="6">
        <v>1</v>
      </c>
    </row>
    <row r="25" spans="1:15" x14ac:dyDescent="0.25">
      <c r="A25" s="5">
        <v>2395</v>
      </c>
      <c r="B25" s="5" t="s">
        <v>129</v>
      </c>
      <c r="C25" s="5" t="s">
        <v>117</v>
      </c>
      <c r="D25" s="5" t="s">
        <v>104</v>
      </c>
      <c r="E25" s="6" t="s">
        <v>18</v>
      </c>
      <c r="F25" s="10">
        <v>10</v>
      </c>
      <c r="G25" s="10">
        <v>120</v>
      </c>
      <c r="H25" s="8" t="s">
        <v>27</v>
      </c>
      <c r="I25" s="8" t="s">
        <v>20</v>
      </c>
      <c r="J25" s="8" t="s">
        <v>28</v>
      </c>
      <c r="K25" s="6" t="s">
        <v>29</v>
      </c>
      <c r="L25" s="6" t="s">
        <v>23</v>
      </c>
      <c r="M25" s="6">
        <v>250</v>
      </c>
      <c r="N25" s="6" t="s">
        <v>24</v>
      </c>
      <c r="O25" s="6">
        <v>1</v>
      </c>
    </row>
    <row r="26" spans="1:15" x14ac:dyDescent="0.25">
      <c r="A26" s="5">
        <v>2395</v>
      </c>
      <c r="B26" s="5" t="s">
        <v>129</v>
      </c>
      <c r="C26" s="5" t="s">
        <v>117</v>
      </c>
      <c r="D26" s="5" t="s">
        <v>104</v>
      </c>
      <c r="E26" s="6" t="s">
        <v>18</v>
      </c>
      <c r="F26" s="10">
        <v>10</v>
      </c>
      <c r="G26" s="10">
        <v>120</v>
      </c>
      <c r="H26" s="6" t="s">
        <v>38</v>
      </c>
      <c r="I26" s="6" t="s">
        <v>30</v>
      </c>
      <c r="J26" s="6" t="s">
        <v>31</v>
      </c>
      <c r="K26" s="6" t="s">
        <v>32</v>
      </c>
      <c r="L26" s="6" t="s">
        <v>23</v>
      </c>
      <c r="M26" s="6">
        <v>200</v>
      </c>
      <c r="N26" s="6" t="s">
        <v>24</v>
      </c>
      <c r="O26" s="6">
        <v>1</v>
      </c>
    </row>
    <row r="27" spans="1:15" x14ac:dyDescent="0.25">
      <c r="A27" s="5">
        <v>2395</v>
      </c>
      <c r="B27" s="5" t="s">
        <v>129</v>
      </c>
      <c r="C27" s="5" t="s">
        <v>117</v>
      </c>
      <c r="D27" s="5" t="s">
        <v>104</v>
      </c>
      <c r="E27" s="6" t="s">
        <v>18</v>
      </c>
      <c r="F27" s="10">
        <v>10</v>
      </c>
      <c r="G27" s="10">
        <v>120</v>
      </c>
      <c r="H27" s="6" t="s">
        <v>38</v>
      </c>
      <c r="I27" s="6" t="s">
        <v>121</v>
      </c>
      <c r="J27" s="6" t="s">
        <v>121</v>
      </c>
      <c r="K27" s="6" t="s">
        <v>122</v>
      </c>
      <c r="L27" s="6" t="s">
        <v>23</v>
      </c>
      <c r="M27" s="6">
        <v>16000</v>
      </c>
      <c r="N27" s="6" t="s">
        <v>24</v>
      </c>
      <c r="O27" s="6">
        <v>1</v>
      </c>
    </row>
    <row r="28" spans="1:15" x14ac:dyDescent="0.25">
      <c r="A28" s="5">
        <v>2400</v>
      </c>
      <c r="B28" s="5" t="s">
        <v>130</v>
      </c>
      <c r="C28" s="5" t="s">
        <v>117</v>
      </c>
      <c r="D28" s="5" t="s">
        <v>104</v>
      </c>
      <c r="E28" s="6" t="s">
        <v>18</v>
      </c>
      <c r="F28" s="10">
        <v>10</v>
      </c>
      <c r="G28" s="10">
        <v>120</v>
      </c>
      <c r="H28" s="8" t="s">
        <v>19</v>
      </c>
      <c r="I28" s="8" t="s">
        <v>20</v>
      </c>
      <c r="J28" s="8" t="s">
        <v>28</v>
      </c>
      <c r="K28" s="6" t="s">
        <v>29</v>
      </c>
      <c r="L28" s="6" t="s">
        <v>23</v>
      </c>
      <c r="M28" s="6">
        <v>55</v>
      </c>
      <c r="N28" s="6" t="s">
        <v>24</v>
      </c>
      <c r="O28" s="6">
        <v>1</v>
      </c>
    </row>
    <row r="29" spans="1:15" x14ac:dyDescent="0.25">
      <c r="A29" s="5">
        <v>2400</v>
      </c>
      <c r="B29" s="5" t="s">
        <v>130</v>
      </c>
      <c r="C29" s="5" t="s">
        <v>117</v>
      </c>
      <c r="D29" s="5" t="s">
        <v>104</v>
      </c>
      <c r="E29" s="6" t="s">
        <v>18</v>
      </c>
      <c r="F29" s="10">
        <v>10</v>
      </c>
      <c r="G29" s="10">
        <v>120</v>
      </c>
      <c r="H29" s="8" t="s">
        <v>27</v>
      </c>
      <c r="I29" s="8" t="s">
        <v>20</v>
      </c>
      <c r="J29" s="8" t="s">
        <v>28</v>
      </c>
      <c r="K29" s="6" t="s">
        <v>29</v>
      </c>
      <c r="L29" s="6" t="s">
        <v>23</v>
      </c>
      <c r="M29" s="6">
        <v>250</v>
      </c>
      <c r="N29" s="6" t="s">
        <v>24</v>
      </c>
      <c r="O29" s="6">
        <v>1</v>
      </c>
    </row>
    <row r="30" spans="1:15" x14ac:dyDescent="0.25">
      <c r="A30" s="5">
        <v>2400</v>
      </c>
      <c r="B30" s="5" t="s">
        <v>130</v>
      </c>
      <c r="C30" s="5" t="s">
        <v>117</v>
      </c>
      <c r="D30" s="5" t="s">
        <v>104</v>
      </c>
      <c r="E30" s="6" t="s">
        <v>18</v>
      </c>
      <c r="F30" s="10">
        <v>10</v>
      </c>
      <c r="G30" s="10">
        <v>120</v>
      </c>
      <c r="H30" s="6" t="s">
        <v>38</v>
      </c>
      <c r="I30" s="6" t="s">
        <v>30</v>
      </c>
      <c r="J30" s="6" t="s">
        <v>31</v>
      </c>
      <c r="K30" s="6" t="s">
        <v>32</v>
      </c>
      <c r="L30" s="6" t="s">
        <v>23</v>
      </c>
      <c r="M30" s="6">
        <v>200</v>
      </c>
      <c r="N30" s="6" t="s">
        <v>24</v>
      </c>
      <c r="O30" s="6">
        <v>1</v>
      </c>
    </row>
    <row r="31" spans="1:15" x14ac:dyDescent="0.25">
      <c r="A31" s="5">
        <v>2400</v>
      </c>
      <c r="B31" s="5" t="s">
        <v>130</v>
      </c>
      <c r="C31" s="5" t="s">
        <v>117</v>
      </c>
      <c r="D31" s="5" t="s">
        <v>104</v>
      </c>
      <c r="E31" s="6" t="s">
        <v>18</v>
      </c>
      <c r="F31" s="10">
        <v>10</v>
      </c>
      <c r="G31" s="10">
        <v>120</v>
      </c>
      <c r="H31" s="6" t="s">
        <v>38</v>
      </c>
      <c r="I31" s="6" t="s">
        <v>121</v>
      </c>
      <c r="J31" s="6" t="s">
        <v>121</v>
      </c>
      <c r="K31" s="6" t="s">
        <v>122</v>
      </c>
      <c r="L31" s="6" t="s">
        <v>23</v>
      </c>
      <c r="M31" s="6">
        <v>16000</v>
      </c>
      <c r="N31" s="6" t="s">
        <v>24</v>
      </c>
      <c r="O31" s="6">
        <v>1</v>
      </c>
    </row>
    <row r="32" spans="1:15" x14ac:dyDescent="0.25">
      <c r="A32" s="5">
        <v>2410</v>
      </c>
      <c r="B32" s="5" t="s">
        <v>131</v>
      </c>
      <c r="C32" s="5" t="s">
        <v>117</v>
      </c>
      <c r="D32" s="5" t="s">
        <v>104</v>
      </c>
      <c r="E32" s="6" t="s">
        <v>18</v>
      </c>
      <c r="F32" s="10">
        <v>10</v>
      </c>
      <c r="G32" s="10">
        <v>120</v>
      </c>
      <c r="H32" s="8" t="s">
        <v>19</v>
      </c>
      <c r="I32" s="8" t="s">
        <v>20</v>
      </c>
      <c r="J32" s="8" t="s">
        <v>28</v>
      </c>
      <c r="K32" s="6" t="s">
        <v>29</v>
      </c>
      <c r="L32" s="6" t="s">
        <v>23</v>
      </c>
      <c r="M32" s="6">
        <v>55</v>
      </c>
      <c r="N32" s="6" t="s">
        <v>24</v>
      </c>
      <c r="O32" s="6">
        <v>1</v>
      </c>
    </row>
    <row r="33" spans="1:15" x14ac:dyDescent="0.25">
      <c r="A33" s="5">
        <v>2410</v>
      </c>
      <c r="B33" s="5" t="s">
        <v>131</v>
      </c>
      <c r="C33" s="5" t="s">
        <v>117</v>
      </c>
      <c r="D33" s="5" t="s">
        <v>104</v>
      </c>
      <c r="E33" s="6" t="s">
        <v>18</v>
      </c>
      <c r="F33" s="10">
        <v>10</v>
      </c>
      <c r="G33" s="10">
        <v>120</v>
      </c>
      <c r="H33" s="8" t="s">
        <v>27</v>
      </c>
      <c r="I33" s="8" t="s">
        <v>20</v>
      </c>
      <c r="J33" s="8" t="s">
        <v>28</v>
      </c>
      <c r="K33" s="6" t="s">
        <v>29</v>
      </c>
      <c r="L33" s="6" t="s">
        <v>23</v>
      </c>
      <c r="M33" s="6">
        <v>250</v>
      </c>
      <c r="N33" s="6" t="s">
        <v>24</v>
      </c>
      <c r="O33" s="6">
        <v>1</v>
      </c>
    </row>
    <row r="34" spans="1:15" x14ac:dyDescent="0.25">
      <c r="A34" s="5">
        <v>2410</v>
      </c>
      <c r="B34" s="5" t="s">
        <v>131</v>
      </c>
      <c r="C34" s="5" t="s">
        <v>117</v>
      </c>
      <c r="D34" s="5" t="s">
        <v>104</v>
      </c>
      <c r="E34" s="6" t="s">
        <v>18</v>
      </c>
      <c r="F34" s="10">
        <v>10</v>
      </c>
      <c r="G34" s="10">
        <v>120</v>
      </c>
      <c r="H34" s="6" t="s">
        <v>38</v>
      </c>
      <c r="I34" s="6" t="s">
        <v>30</v>
      </c>
      <c r="J34" s="6" t="s">
        <v>31</v>
      </c>
      <c r="K34" s="6" t="s">
        <v>32</v>
      </c>
      <c r="L34" s="6" t="s">
        <v>23</v>
      </c>
      <c r="M34" s="6">
        <v>200</v>
      </c>
      <c r="N34" s="6" t="s">
        <v>24</v>
      </c>
      <c r="O34" s="6">
        <v>1</v>
      </c>
    </row>
    <row r="35" spans="1:15" x14ac:dyDescent="0.25">
      <c r="A35" s="5">
        <v>2410</v>
      </c>
      <c r="B35" s="5" t="s">
        <v>131</v>
      </c>
      <c r="C35" s="5" t="s">
        <v>117</v>
      </c>
      <c r="D35" s="5" t="s">
        <v>104</v>
      </c>
      <c r="E35" s="6" t="s">
        <v>18</v>
      </c>
      <c r="F35" s="10">
        <v>10</v>
      </c>
      <c r="G35" s="10">
        <v>120</v>
      </c>
      <c r="H35" s="6" t="s">
        <v>38</v>
      </c>
      <c r="I35" s="6" t="s">
        <v>121</v>
      </c>
      <c r="J35" s="6" t="s">
        <v>121</v>
      </c>
      <c r="K35" s="6" t="s">
        <v>122</v>
      </c>
      <c r="L35" s="6" t="s">
        <v>23</v>
      </c>
      <c r="M35" s="6">
        <v>16000</v>
      </c>
      <c r="N35" s="6" t="s">
        <v>24</v>
      </c>
      <c r="O35" s="6">
        <v>1</v>
      </c>
    </row>
    <row r="36" spans="1:15" x14ac:dyDescent="0.25">
      <c r="A36" s="5">
        <v>2415</v>
      </c>
      <c r="B36" s="5" t="s">
        <v>132</v>
      </c>
      <c r="C36" s="5" t="s">
        <v>117</v>
      </c>
      <c r="D36" s="5" t="s">
        <v>104</v>
      </c>
      <c r="E36" s="6" t="s">
        <v>18</v>
      </c>
      <c r="F36" s="10">
        <v>10</v>
      </c>
      <c r="G36" s="10">
        <v>120</v>
      </c>
      <c r="H36" s="8" t="s">
        <v>19</v>
      </c>
      <c r="I36" s="8" t="s">
        <v>20</v>
      </c>
      <c r="J36" s="8" t="s">
        <v>28</v>
      </c>
      <c r="K36" s="6" t="s">
        <v>29</v>
      </c>
      <c r="L36" s="6" t="s">
        <v>23</v>
      </c>
      <c r="M36" s="6">
        <v>55</v>
      </c>
      <c r="N36" s="6" t="s">
        <v>24</v>
      </c>
      <c r="O36" s="6">
        <v>1</v>
      </c>
    </row>
    <row r="37" spans="1:15" x14ac:dyDescent="0.25">
      <c r="A37" s="5">
        <v>2415</v>
      </c>
      <c r="B37" s="5" t="s">
        <v>132</v>
      </c>
      <c r="C37" s="5" t="s">
        <v>117</v>
      </c>
      <c r="D37" s="5" t="s">
        <v>104</v>
      </c>
      <c r="E37" s="6" t="s">
        <v>18</v>
      </c>
      <c r="F37" s="10">
        <v>10</v>
      </c>
      <c r="G37" s="10">
        <v>120</v>
      </c>
      <c r="H37" s="8" t="s">
        <v>27</v>
      </c>
      <c r="I37" s="8" t="s">
        <v>20</v>
      </c>
      <c r="J37" s="8" t="s">
        <v>28</v>
      </c>
      <c r="K37" s="6" t="s">
        <v>29</v>
      </c>
      <c r="L37" s="6" t="s">
        <v>23</v>
      </c>
      <c r="M37" s="6">
        <v>250</v>
      </c>
      <c r="N37" s="6" t="s">
        <v>24</v>
      </c>
      <c r="O37" s="6">
        <v>1</v>
      </c>
    </row>
    <row r="38" spans="1:15" x14ac:dyDescent="0.25">
      <c r="A38" s="5">
        <v>2415</v>
      </c>
      <c r="B38" s="5" t="s">
        <v>132</v>
      </c>
      <c r="C38" s="5" t="s">
        <v>117</v>
      </c>
      <c r="D38" s="5" t="s">
        <v>104</v>
      </c>
      <c r="E38" s="6" t="s">
        <v>18</v>
      </c>
      <c r="F38" s="10">
        <v>10</v>
      </c>
      <c r="G38" s="10">
        <v>120</v>
      </c>
      <c r="H38" s="6" t="s">
        <v>38</v>
      </c>
      <c r="I38" s="6" t="s">
        <v>30</v>
      </c>
      <c r="J38" s="6" t="s">
        <v>31</v>
      </c>
      <c r="K38" s="6" t="s">
        <v>32</v>
      </c>
      <c r="L38" s="6" t="s">
        <v>23</v>
      </c>
      <c r="M38" s="6">
        <v>200</v>
      </c>
      <c r="N38" s="6" t="s">
        <v>24</v>
      </c>
      <c r="O38" s="6">
        <v>1</v>
      </c>
    </row>
    <row r="39" spans="1:15" x14ac:dyDescent="0.25">
      <c r="A39" s="5">
        <v>2415</v>
      </c>
      <c r="B39" s="5" t="s">
        <v>132</v>
      </c>
      <c r="C39" s="5" t="s">
        <v>117</v>
      </c>
      <c r="D39" s="5" t="s">
        <v>104</v>
      </c>
      <c r="E39" s="6" t="s">
        <v>18</v>
      </c>
      <c r="F39" s="10">
        <v>10</v>
      </c>
      <c r="G39" s="10">
        <v>120</v>
      </c>
      <c r="H39" s="6" t="s">
        <v>38</v>
      </c>
      <c r="I39" s="6" t="s">
        <v>121</v>
      </c>
      <c r="J39" s="6" t="s">
        <v>121</v>
      </c>
      <c r="K39" s="6" t="s">
        <v>122</v>
      </c>
      <c r="L39" s="6" t="s">
        <v>23</v>
      </c>
      <c r="M39" s="6">
        <v>16000</v>
      </c>
      <c r="N39" s="6" t="s">
        <v>24</v>
      </c>
      <c r="O39" s="6">
        <v>1</v>
      </c>
    </row>
    <row r="40" spans="1:15" x14ac:dyDescent="0.25">
      <c r="A40" s="5">
        <v>2420</v>
      </c>
      <c r="B40" s="5" t="s">
        <v>133</v>
      </c>
      <c r="C40" s="5" t="s">
        <v>117</v>
      </c>
      <c r="D40" s="5" t="s">
        <v>104</v>
      </c>
      <c r="E40" s="6" t="s">
        <v>18</v>
      </c>
      <c r="F40" s="10">
        <v>10</v>
      </c>
      <c r="G40" s="10">
        <v>120</v>
      </c>
      <c r="H40" s="8" t="s">
        <v>19</v>
      </c>
      <c r="I40" s="8" t="s">
        <v>20</v>
      </c>
      <c r="J40" s="8" t="s">
        <v>28</v>
      </c>
      <c r="K40" s="6" t="s">
        <v>29</v>
      </c>
      <c r="L40" s="6" t="s">
        <v>23</v>
      </c>
      <c r="M40" s="6">
        <v>55</v>
      </c>
      <c r="N40" s="6" t="s">
        <v>24</v>
      </c>
      <c r="O40" s="6">
        <v>1</v>
      </c>
    </row>
    <row r="41" spans="1:15" x14ac:dyDescent="0.25">
      <c r="A41" s="5">
        <v>2420</v>
      </c>
      <c r="B41" s="5" t="s">
        <v>133</v>
      </c>
      <c r="C41" s="5" t="s">
        <v>117</v>
      </c>
      <c r="D41" s="5" t="s">
        <v>104</v>
      </c>
      <c r="E41" s="6" t="s">
        <v>18</v>
      </c>
      <c r="F41" s="10">
        <v>10</v>
      </c>
      <c r="G41" s="10">
        <v>120</v>
      </c>
      <c r="H41" s="8" t="s">
        <v>27</v>
      </c>
      <c r="I41" s="8" t="s">
        <v>20</v>
      </c>
      <c r="J41" s="8" t="s">
        <v>28</v>
      </c>
      <c r="K41" s="6" t="s">
        <v>29</v>
      </c>
      <c r="L41" s="6" t="s">
        <v>23</v>
      </c>
      <c r="M41" s="6">
        <v>250</v>
      </c>
      <c r="N41" s="6" t="s">
        <v>24</v>
      </c>
      <c r="O41" s="6">
        <v>1</v>
      </c>
    </row>
    <row r="42" spans="1:15" x14ac:dyDescent="0.25">
      <c r="A42" s="5">
        <v>2420</v>
      </c>
      <c r="B42" s="5" t="s">
        <v>133</v>
      </c>
      <c r="C42" s="5" t="s">
        <v>117</v>
      </c>
      <c r="D42" s="5" t="s">
        <v>104</v>
      </c>
      <c r="E42" s="6" t="s">
        <v>18</v>
      </c>
      <c r="F42" s="10">
        <v>10</v>
      </c>
      <c r="G42" s="10">
        <v>120</v>
      </c>
      <c r="H42" s="6" t="s">
        <v>38</v>
      </c>
      <c r="I42" s="6" t="s">
        <v>30</v>
      </c>
      <c r="J42" s="6" t="s">
        <v>31</v>
      </c>
      <c r="K42" s="6" t="s">
        <v>32</v>
      </c>
      <c r="L42" s="6" t="s">
        <v>23</v>
      </c>
      <c r="M42" s="6">
        <v>200</v>
      </c>
      <c r="N42" s="6" t="s">
        <v>24</v>
      </c>
      <c r="O42" s="6">
        <v>1</v>
      </c>
    </row>
    <row r="43" spans="1:15" x14ac:dyDescent="0.25">
      <c r="A43" s="5">
        <v>2420</v>
      </c>
      <c r="B43" s="5" t="s">
        <v>133</v>
      </c>
      <c r="C43" s="5" t="s">
        <v>117</v>
      </c>
      <c r="D43" s="5" t="s">
        <v>104</v>
      </c>
      <c r="E43" s="6" t="s">
        <v>18</v>
      </c>
      <c r="F43" s="10">
        <v>10</v>
      </c>
      <c r="G43" s="10">
        <v>120</v>
      </c>
      <c r="H43" s="6" t="s">
        <v>38</v>
      </c>
      <c r="I43" s="6" t="s">
        <v>121</v>
      </c>
      <c r="J43" s="6" t="s">
        <v>121</v>
      </c>
      <c r="K43" s="6" t="s">
        <v>122</v>
      </c>
      <c r="L43" s="6" t="s">
        <v>23</v>
      </c>
      <c r="M43" s="6">
        <v>16000</v>
      </c>
      <c r="N43" s="6" t="s">
        <v>24</v>
      </c>
      <c r="O43" s="6">
        <v>1</v>
      </c>
    </row>
    <row r="44" spans="1:15" x14ac:dyDescent="0.25">
      <c r="A44" s="5">
        <v>2460</v>
      </c>
      <c r="B44" s="5" t="s">
        <v>156</v>
      </c>
      <c r="C44" s="5" t="s">
        <v>157</v>
      </c>
      <c r="D44" s="5" t="s">
        <v>158</v>
      </c>
      <c r="E44" s="6" t="s">
        <v>18</v>
      </c>
      <c r="F44" s="10">
        <v>1</v>
      </c>
      <c r="G44" s="10">
        <v>105</v>
      </c>
      <c r="H44" s="8" t="s">
        <v>19</v>
      </c>
      <c r="I44" s="8" t="s">
        <v>20</v>
      </c>
      <c r="J44" s="8" t="s">
        <v>21</v>
      </c>
      <c r="K44" s="6" t="s">
        <v>159</v>
      </c>
      <c r="L44" s="6" t="s">
        <v>23</v>
      </c>
      <c r="M44" s="6">
        <v>200</v>
      </c>
      <c r="N44" s="6" t="s">
        <v>24</v>
      </c>
      <c r="O44" s="6">
        <v>1</v>
      </c>
    </row>
    <row r="45" spans="1:15" x14ac:dyDescent="0.25">
      <c r="A45" s="5">
        <v>2460</v>
      </c>
      <c r="B45" s="5" t="s">
        <v>156</v>
      </c>
      <c r="C45" s="5" t="s">
        <v>157</v>
      </c>
      <c r="D45" s="5" t="s">
        <v>158</v>
      </c>
      <c r="E45" s="6" t="s">
        <v>18</v>
      </c>
      <c r="F45" s="10">
        <v>1</v>
      </c>
      <c r="G45" s="10">
        <v>105</v>
      </c>
      <c r="H45" s="6" t="s">
        <v>27</v>
      </c>
      <c r="I45" s="8" t="s">
        <v>20</v>
      </c>
      <c r="J45" s="8" t="s">
        <v>28</v>
      </c>
      <c r="K45" s="6" t="s">
        <v>29</v>
      </c>
      <c r="L45" s="6" t="s">
        <v>23</v>
      </c>
      <c r="M45" s="6">
        <v>165</v>
      </c>
      <c r="N45" s="6" t="s">
        <v>24</v>
      </c>
      <c r="O45" s="6">
        <v>1</v>
      </c>
    </row>
    <row r="46" spans="1:15" x14ac:dyDescent="0.25">
      <c r="A46" s="5">
        <v>2465</v>
      </c>
      <c r="B46" s="5" t="s">
        <v>160</v>
      </c>
      <c r="C46" s="5" t="s">
        <v>157</v>
      </c>
      <c r="D46" s="5" t="s">
        <v>158</v>
      </c>
      <c r="E46" s="6" t="s">
        <v>18</v>
      </c>
      <c r="F46" s="10">
        <v>1</v>
      </c>
      <c r="G46" s="10">
        <v>105</v>
      </c>
      <c r="H46" s="8" t="s">
        <v>19</v>
      </c>
      <c r="I46" s="8" t="s">
        <v>20</v>
      </c>
      <c r="J46" s="8" t="s">
        <v>21</v>
      </c>
      <c r="K46" s="6" t="s">
        <v>159</v>
      </c>
      <c r="L46" s="6" t="s">
        <v>23</v>
      </c>
      <c r="M46" s="6">
        <v>200</v>
      </c>
      <c r="N46" s="6" t="s">
        <v>24</v>
      </c>
      <c r="O46" s="6">
        <v>1</v>
      </c>
    </row>
    <row r="47" spans="1:15" x14ac:dyDescent="0.25">
      <c r="A47" s="5">
        <v>2465</v>
      </c>
      <c r="B47" s="5" t="s">
        <v>160</v>
      </c>
      <c r="C47" s="5" t="s">
        <v>157</v>
      </c>
      <c r="D47" s="5" t="s">
        <v>158</v>
      </c>
      <c r="E47" s="6" t="s">
        <v>18</v>
      </c>
      <c r="F47" s="10">
        <v>1</v>
      </c>
      <c r="G47" s="10">
        <v>105</v>
      </c>
      <c r="H47" s="6" t="s">
        <v>27</v>
      </c>
      <c r="I47" s="8" t="s">
        <v>20</v>
      </c>
      <c r="J47" s="8" t="s">
        <v>28</v>
      </c>
      <c r="K47" s="6" t="s">
        <v>29</v>
      </c>
      <c r="L47" s="6" t="s">
        <v>23</v>
      </c>
      <c r="M47" s="6">
        <v>165</v>
      </c>
      <c r="N47" s="6" t="s">
        <v>24</v>
      </c>
      <c r="O47" s="6">
        <v>1</v>
      </c>
    </row>
    <row r="48" spans="1:15" x14ac:dyDescent="0.25">
      <c r="A48" s="5">
        <v>2470</v>
      </c>
      <c r="B48" s="5" t="s">
        <v>161</v>
      </c>
      <c r="C48" s="5" t="s">
        <v>157</v>
      </c>
      <c r="D48" s="5" t="s">
        <v>158</v>
      </c>
      <c r="E48" s="6" t="s">
        <v>18</v>
      </c>
      <c r="F48" s="10">
        <v>1</v>
      </c>
      <c r="G48" s="10">
        <v>105</v>
      </c>
      <c r="H48" s="8" t="s">
        <v>19</v>
      </c>
      <c r="I48" s="8" t="s">
        <v>20</v>
      </c>
      <c r="J48" s="8" t="s">
        <v>21</v>
      </c>
      <c r="K48" s="6" t="s">
        <v>159</v>
      </c>
      <c r="L48" s="6" t="s">
        <v>23</v>
      </c>
      <c r="M48" s="6">
        <v>120</v>
      </c>
      <c r="N48" s="6" t="s">
        <v>24</v>
      </c>
      <c r="O48" s="6">
        <v>1</v>
      </c>
    </row>
    <row r="49" spans="1:15" x14ac:dyDescent="0.25">
      <c r="A49" s="5">
        <v>2470</v>
      </c>
      <c r="B49" s="5" t="s">
        <v>161</v>
      </c>
      <c r="C49" s="5" t="s">
        <v>157</v>
      </c>
      <c r="D49" s="5" t="s">
        <v>158</v>
      </c>
      <c r="E49" s="6" t="s">
        <v>18</v>
      </c>
      <c r="F49" s="10">
        <v>1</v>
      </c>
      <c r="G49" s="10">
        <v>105</v>
      </c>
      <c r="H49" s="6" t="s">
        <v>27</v>
      </c>
      <c r="I49" s="8" t="s">
        <v>20</v>
      </c>
      <c r="J49" s="8" t="s">
        <v>28</v>
      </c>
      <c r="K49" s="6" t="s">
        <v>29</v>
      </c>
      <c r="L49" s="6" t="s">
        <v>23</v>
      </c>
      <c r="M49" s="6">
        <v>165</v>
      </c>
      <c r="N49" s="6" t="s">
        <v>24</v>
      </c>
      <c r="O49" s="6">
        <v>1</v>
      </c>
    </row>
    <row r="50" spans="1:15" x14ac:dyDescent="0.25">
      <c r="A50" s="5">
        <v>2475</v>
      </c>
      <c r="B50" s="5" t="s">
        <v>162</v>
      </c>
      <c r="C50" s="5" t="s">
        <v>157</v>
      </c>
      <c r="D50" s="5" t="s">
        <v>158</v>
      </c>
      <c r="E50" s="6" t="s">
        <v>18</v>
      </c>
      <c r="F50" s="10">
        <v>1</v>
      </c>
      <c r="G50" s="10">
        <v>105</v>
      </c>
      <c r="H50" s="8" t="s">
        <v>19</v>
      </c>
      <c r="I50" s="8" t="s">
        <v>20</v>
      </c>
      <c r="J50" s="8" t="s">
        <v>21</v>
      </c>
      <c r="K50" s="6" t="s">
        <v>159</v>
      </c>
      <c r="L50" s="6" t="s">
        <v>23</v>
      </c>
      <c r="M50" s="6">
        <v>120</v>
      </c>
      <c r="N50" s="6" t="s">
        <v>24</v>
      </c>
      <c r="O50" s="6">
        <v>1</v>
      </c>
    </row>
    <row r="51" spans="1:15" x14ac:dyDescent="0.25">
      <c r="A51" s="5">
        <v>2475</v>
      </c>
      <c r="B51" s="5" t="s">
        <v>162</v>
      </c>
      <c r="C51" s="5" t="s">
        <v>157</v>
      </c>
      <c r="D51" s="5" t="s">
        <v>158</v>
      </c>
      <c r="E51" s="6" t="s">
        <v>18</v>
      </c>
      <c r="F51" s="10">
        <v>1</v>
      </c>
      <c r="G51" s="10">
        <v>105</v>
      </c>
      <c r="H51" s="6" t="s">
        <v>27</v>
      </c>
      <c r="I51" s="8" t="s">
        <v>20</v>
      </c>
      <c r="J51" s="8" t="s">
        <v>28</v>
      </c>
      <c r="K51" s="6" t="s">
        <v>29</v>
      </c>
      <c r="L51" s="6" t="s">
        <v>23</v>
      </c>
      <c r="M51" s="6">
        <v>165</v>
      </c>
      <c r="N51" s="6" t="s">
        <v>24</v>
      </c>
      <c r="O51" s="6">
        <v>1</v>
      </c>
    </row>
    <row r="52" spans="1:15" x14ac:dyDescent="0.25">
      <c r="A52" s="5">
        <v>2480</v>
      </c>
      <c r="B52" s="5" t="s">
        <v>163</v>
      </c>
      <c r="C52" s="5" t="s">
        <v>157</v>
      </c>
      <c r="D52" s="5" t="s">
        <v>158</v>
      </c>
      <c r="E52" s="6" t="s">
        <v>18</v>
      </c>
      <c r="F52" s="10">
        <v>1</v>
      </c>
      <c r="G52" s="10">
        <v>248</v>
      </c>
      <c r="H52" s="8" t="s">
        <v>19</v>
      </c>
      <c r="I52" s="8" t="s">
        <v>20</v>
      </c>
      <c r="J52" s="8" t="s">
        <v>21</v>
      </c>
      <c r="K52" s="6" t="s">
        <v>159</v>
      </c>
      <c r="L52" s="6" t="s">
        <v>23</v>
      </c>
      <c r="M52" s="6">
        <v>200</v>
      </c>
      <c r="N52" s="6" t="s">
        <v>24</v>
      </c>
      <c r="O52" s="6">
        <v>1</v>
      </c>
    </row>
    <row r="53" spans="1:15" x14ac:dyDescent="0.25">
      <c r="A53" s="5">
        <v>2480</v>
      </c>
      <c r="B53" s="5" t="s">
        <v>163</v>
      </c>
      <c r="C53" s="5" t="s">
        <v>157</v>
      </c>
      <c r="D53" s="5" t="s">
        <v>158</v>
      </c>
      <c r="E53" s="6" t="s">
        <v>18</v>
      </c>
      <c r="F53" s="10">
        <v>1</v>
      </c>
      <c r="G53" s="10">
        <v>248</v>
      </c>
      <c r="H53" s="6" t="s">
        <v>27</v>
      </c>
      <c r="I53" s="8" t="s">
        <v>20</v>
      </c>
      <c r="J53" s="8" t="s">
        <v>28</v>
      </c>
      <c r="K53" s="6" t="s">
        <v>29</v>
      </c>
      <c r="L53" s="6" t="s">
        <v>23</v>
      </c>
      <c r="M53" s="6">
        <v>65</v>
      </c>
      <c r="N53" s="6" t="s">
        <v>24</v>
      </c>
      <c r="O53" s="6">
        <v>1</v>
      </c>
    </row>
    <row r="54" spans="1:15" x14ac:dyDescent="0.25">
      <c r="A54" s="5">
        <v>2485</v>
      </c>
      <c r="B54" s="5" t="s">
        <v>164</v>
      </c>
      <c r="C54" s="5" t="s">
        <v>157</v>
      </c>
      <c r="D54" s="5" t="s">
        <v>158</v>
      </c>
      <c r="E54" s="6" t="s">
        <v>18</v>
      </c>
      <c r="F54" s="10">
        <v>1</v>
      </c>
      <c r="G54" s="10">
        <v>248</v>
      </c>
      <c r="H54" s="8" t="s">
        <v>19</v>
      </c>
      <c r="I54" s="8" t="s">
        <v>20</v>
      </c>
      <c r="J54" s="8" t="s">
        <v>21</v>
      </c>
      <c r="K54" s="6" t="s">
        <v>159</v>
      </c>
      <c r="L54" s="6" t="s">
        <v>23</v>
      </c>
      <c r="M54" s="6">
        <v>200</v>
      </c>
      <c r="N54" s="6" t="s">
        <v>24</v>
      </c>
      <c r="O54" s="6">
        <v>1</v>
      </c>
    </row>
    <row r="55" spans="1:15" x14ac:dyDescent="0.25">
      <c r="A55" s="5">
        <v>2485</v>
      </c>
      <c r="B55" s="5" t="s">
        <v>164</v>
      </c>
      <c r="C55" s="5" t="s">
        <v>157</v>
      </c>
      <c r="D55" s="5" t="s">
        <v>158</v>
      </c>
      <c r="E55" s="6" t="s">
        <v>18</v>
      </c>
      <c r="F55" s="10">
        <v>1</v>
      </c>
      <c r="G55" s="10">
        <v>248</v>
      </c>
      <c r="H55" s="6" t="s">
        <v>27</v>
      </c>
      <c r="I55" s="8" t="s">
        <v>20</v>
      </c>
      <c r="J55" s="8" t="s">
        <v>28</v>
      </c>
      <c r="K55" s="6" t="s">
        <v>29</v>
      </c>
      <c r="L55" s="6" t="s">
        <v>23</v>
      </c>
      <c r="M55" s="6">
        <v>65</v>
      </c>
      <c r="N55" s="6" t="s">
        <v>24</v>
      </c>
      <c r="O55" s="6">
        <v>1</v>
      </c>
    </row>
    <row r="56" spans="1:15" x14ac:dyDescent="0.25">
      <c r="A56" s="5">
        <v>2515</v>
      </c>
      <c r="B56" s="5" t="s">
        <v>152</v>
      </c>
      <c r="C56" s="5" t="s">
        <v>153</v>
      </c>
      <c r="D56" s="5" t="s">
        <v>37</v>
      </c>
      <c r="E56" s="6" t="s">
        <v>18</v>
      </c>
      <c r="F56" s="10">
        <v>1</v>
      </c>
      <c r="G56" s="10">
        <v>200</v>
      </c>
      <c r="H56" s="8" t="s">
        <v>19</v>
      </c>
      <c r="I56" s="8" t="s">
        <v>20</v>
      </c>
      <c r="J56" s="6" t="s">
        <v>21</v>
      </c>
      <c r="K56" s="6" t="s">
        <v>43</v>
      </c>
      <c r="L56" s="6" t="s">
        <v>23</v>
      </c>
      <c r="M56" s="6">
        <v>63</v>
      </c>
      <c r="N56" s="6" t="s">
        <v>24</v>
      </c>
      <c r="O56" s="6">
        <v>1</v>
      </c>
    </row>
    <row r="57" spans="1:15" x14ac:dyDescent="0.25">
      <c r="A57" s="5">
        <v>2515</v>
      </c>
      <c r="B57" s="5" t="s">
        <v>152</v>
      </c>
      <c r="C57" s="5" t="s">
        <v>153</v>
      </c>
      <c r="D57" s="5" t="s">
        <v>37</v>
      </c>
      <c r="E57" s="6" t="s">
        <v>18</v>
      </c>
      <c r="F57" s="10">
        <v>1</v>
      </c>
      <c r="G57" s="10">
        <v>200</v>
      </c>
      <c r="H57" s="6" t="s">
        <v>27</v>
      </c>
      <c r="I57" s="6" t="s">
        <v>20</v>
      </c>
      <c r="J57" s="6" t="s">
        <v>28</v>
      </c>
      <c r="K57" s="6" t="s">
        <v>29</v>
      </c>
      <c r="L57" s="6" t="s">
        <v>23</v>
      </c>
      <c r="M57" s="6">
        <v>171.6</v>
      </c>
      <c r="N57" s="6" t="s">
        <v>24</v>
      </c>
      <c r="O57" s="6">
        <v>1</v>
      </c>
    </row>
    <row r="58" spans="1:15" x14ac:dyDescent="0.25">
      <c r="A58" s="5">
        <v>2515</v>
      </c>
      <c r="B58" s="5" t="s">
        <v>152</v>
      </c>
      <c r="C58" s="5" t="s">
        <v>153</v>
      </c>
      <c r="D58" s="5" t="s">
        <v>37</v>
      </c>
      <c r="E58" s="6" t="s">
        <v>18</v>
      </c>
      <c r="F58" s="10">
        <v>1</v>
      </c>
      <c r="G58" s="10">
        <v>200</v>
      </c>
      <c r="H58" s="6" t="s">
        <v>27</v>
      </c>
      <c r="I58" s="6" t="s">
        <v>30</v>
      </c>
      <c r="J58" s="6" t="s">
        <v>31</v>
      </c>
      <c r="K58" s="6" t="s">
        <v>32</v>
      </c>
      <c r="L58" s="6" t="s">
        <v>23</v>
      </c>
      <c r="M58" s="6">
        <v>1.2</v>
      </c>
      <c r="N58" s="6" t="s">
        <v>24</v>
      </c>
      <c r="O58" s="6">
        <v>1</v>
      </c>
    </row>
    <row r="59" spans="1:15" x14ac:dyDescent="0.25">
      <c r="A59" s="5">
        <v>2515</v>
      </c>
      <c r="B59" s="5" t="s">
        <v>152</v>
      </c>
      <c r="C59" s="5" t="s">
        <v>153</v>
      </c>
      <c r="D59" s="5" t="s">
        <v>37</v>
      </c>
      <c r="E59" s="6" t="s">
        <v>18</v>
      </c>
      <c r="F59" s="10">
        <v>1</v>
      </c>
      <c r="G59" s="10">
        <v>200</v>
      </c>
      <c r="H59" s="6" t="s">
        <v>38</v>
      </c>
      <c r="I59" s="6" t="s">
        <v>30</v>
      </c>
      <c r="J59" s="6" t="s">
        <v>31</v>
      </c>
      <c r="K59" s="6" t="s">
        <v>32</v>
      </c>
      <c r="L59" s="6" t="s">
        <v>23</v>
      </c>
      <c r="M59" s="6">
        <v>200</v>
      </c>
      <c r="N59" s="6" t="s">
        <v>24</v>
      </c>
      <c r="O59" s="6">
        <v>1</v>
      </c>
    </row>
    <row r="60" spans="1:15" x14ac:dyDescent="0.25">
      <c r="A60" s="5">
        <v>2520</v>
      </c>
      <c r="B60" s="5" t="s">
        <v>95</v>
      </c>
      <c r="C60" s="5" t="s">
        <v>96</v>
      </c>
      <c r="D60" s="5" t="s">
        <v>37</v>
      </c>
      <c r="E60" s="6" t="s">
        <v>18</v>
      </c>
      <c r="F60" s="10">
        <v>4</v>
      </c>
      <c r="G60" s="10">
        <v>60</v>
      </c>
      <c r="H60" s="6" t="s">
        <v>19</v>
      </c>
      <c r="I60" s="6" t="s">
        <v>30</v>
      </c>
      <c r="J60" s="6" t="s">
        <v>31</v>
      </c>
      <c r="K60" s="6" t="s">
        <v>43</v>
      </c>
      <c r="L60" s="6" t="s">
        <v>23</v>
      </c>
      <c r="M60" s="6">
        <v>20</v>
      </c>
      <c r="N60" s="6" t="s">
        <v>24</v>
      </c>
      <c r="O60" s="6">
        <v>1</v>
      </c>
    </row>
    <row r="61" spans="1:15" x14ac:dyDescent="0.25">
      <c r="A61" s="5">
        <v>2520</v>
      </c>
      <c r="B61" s="5" t="s">
        <v>95</v>
      </c>
      <c r="C61" s="5" t="s">
        <v>96</v>
      </c>
      <c r="D61" s="5" t="s">
        <v>37</v>
      </c>
      <c r="E61" s="6" t="s">
        <v>18</v>
      </c>
      <c r="F61" s="10">
        <v>4</v>
      </c>
      <c r="G61" s="10">
        <v>60</v>
      </c>
      <c r="H61" s="6" t="s">
        <v>27</v>
      </c>
      <c r="I61" s="6" t="s">
        <v>20</v>
      </c>
      <c r="J61" s="6" t="s">
        <v>28</v>
      </c>
      <c r="K61" s="6" t="s">
        <v>29</v>
      </c>
      <c r="L61" s="6" t="s">
        <v>23</v>
      </c>
      <c r="M61" s="6">
        <v>255</v>
      </c>
      <c r="N61" s="6" t="s">
        <v>24</v>
      </c>
      <c r="O61" s="6">
        <v>1</v>
      </c>
    </row>
    <row r="62" spans="1:15" x14ac:dyDescent="0.25">
      <c r="A62" s="5">
        <v>2520</v>
      </c>
      <c r="B62" s="5" t="s">
        <v>95</v>
      </c>
      <c r="C62" s="5" t="s">
        <v>96</v>
      </c>
      <c r="D62" s="5" t="s">
        <v>37</v>
      </c>
      <c r="E62" s="6" t="s">
        <v>18</v>
      </c>
      <c r="F62" s="10">
        <v>4</v>
      </c>
      <c r="G62" s="10">
        <v>60</v>
      </c>
      <c r="H62" s="6" t="s">
        <v>38</v>
      </c>
      <c r="I62" s="6" t="s">
        <v>30</v>
      </c>
      <c r="J62" s="6" t="s">
        <v>31</v>
      </c>
      <c r="K62" s="6" t="s">
        <v>43</v>
      </c>
      <c r="L62" s="6" t="s">
        <v>23</v>
      </c>
      <c r="M62" s="6">
        <v>200</v>
      </c>
      <c r="N62" s="6" t="s">
        <v>24</v>
      </c>
      <c r="O62" s="6">
        <v>1</v>
      </c>
    </row>
    <row r="63" spans="1:15" x14ac:dyDescent="0.25">
      <c r="A63" s="5">
        <v>2525</v>
      </c>
      <c r="B63" s="5" t="s">
        <v>97</v>
      </c>
      <c r="C63" s="5" t="s">
        <v>96</v>
      </c>
      <c r="D63" s="5" t="s">
        <v>37</v>
      </c>
      <c r="E63" s="6" t="s">
        <v>18</v>
      </c>
      <c r="F63" s="10">
        <v>1</v>
      </c>
      <c r="G63" s="10">
        <v>40</v>
      </c>
      <c r="H63" s="8" t="s">
        <v>19</v>
      </c>
      <c r="I63" s="8" t="s">
        <v>20</v>
      </c>
      <c r="J63" s="8" t="s">
        <v>21</v>
      </c>
      <c r="K63" s="6" t="s">
        <v>43</v>
      </c>
      <c r="L63" s="6" t="s">
        <v>23</v>
      </c>
      <c r="M63" s="6">
        <v>310</v>
      </c>
      <c r="N63" s="6" t="s">
        <v>24</v>
      </c>
      <c r="O63" s="6">
        <v>1</v>
      </c>
    </row>
    <row r="64" spans="1:15" x14ac:dyDescent="0.25">
      <c r="A64" s="5">
        <v>2525</v>
      </c>
      <c r="B64" s="5" t="s">
        <v>97</v>
      </c>
      <c r="C64" s="5" t="s">
        <v>96</v>
      </c>
      <c r="D64" s="5" t="s">
        <v>37</v>
      </c>
      <c r="E64" s="6" t="s">
        <v>18</v>
      </c>
      <c r="F64" s="10">
        <v>1</v>
      </c>
      <c r="G64" s="10">
        <v>40</v>
      </c>
      <c r="H64" s="6" t="s">
        <v>38</v>
      </c>
      <c r="I64" s="6" t="s">
        <v>30</v>
      </c>
      <c r="J64" s="6" t="s">
        <v>31</v>
      </c>
      <c r="K64" s="6" t="s">
        <v>32</v>
      </c>
      <c r="L64" s="6" t="s">
        <v>23</v>
      </c>
      <c r="M64" s="6">
        <v>200</v>
      </c>
      <c r="N64" s="6" t="s">
        <v>24</v>
      </c>
      <c r="O64" s="6">
        <v>1</v>
      </c>
    </row>
    <row r="65" spans="1:15" x14ac:dyDescent="0.25">
      <c r="A65" s="5">
        <v>2530</v>
      </c>
      <c r="B65" s="5" t="s">
        <v>98</v>
      </c>
      <c r="C65" s="5" t="s">
        <v>96</v>
      </c>
      <c r="D65" s="5" t="s">
        <v>37</v>
      </c>
      <c r="E65" s="6" t="s">
        <v>18</v>
      </c>
      <c r="F65" s="10">
        <v>1</v>
      </c>
      <c r="G65" s="10">
        <v>65</v>
      </c>
      <c r="H65" s="8" t="s">
        <v>19</v>
      </c>
      <c r="I65" s="8" t="s">
        <v>20</v>
      </c>
      <c r="J65" s="8" t="s">
        <v>21</v>
      </c>
      <c r="K65" s="6" t="s">
        <v>43</v>
      </c>
      <c r="L65" s="6" t="s">
        <v>23</v>
      </c>
      <c r="M65" s="6">
        <v>152.26</v>
      </c>
      <c r="N65" s="6" t="s">
        <v>24</v>
      </c>
      <c r="O65" s="6">
        <v>1</v>
      </c>
    </row>
    <row r="66" spans="1:15" x14ac:dyDescent="0.25">
      <c r="A66" s="5">
        <v>2530</v>
      </c>
      <c r="B66" s="5" t="s">
        <v>98</v>
      </c>
      <c r="C66" s="5" t="s">
        <v>96</v>
      </c>
      <c r="D66" s="5" t="s">
        <v>37</v>
      </c>
      <c r="E66" s="6" t="s">
        <v>18</v>
      </c>
      <c r="F66" s="10">
        <v>1</v>
      </c>
      <c r="G66" s="10">
        <v>65</v>
      </c>
      <c r="H66" s="6" t="s">
        <v>38</v>
      </c>
      <c r="I66" s="6" t="s">
        <v>30</v>
      </c>
      <c r="J66" s="6" t="s">
        <v>31</v>
      </c>
      <c r="K66" s="6" t="s">
        <v>32</v>
      </c>
      <c r="L66" s="6" t="s">
        <v>23</v>
      </c>
      <c r="M66" s="6">
        <v>200</v>
      </c>
      <c r="N66" s="6" t="s">
        <v>24</v>
      </c>
      <c r="O66" s="6">
        <v>1</v>
      </c>
    </row>
    <row r="67" spans="1:15" x14ac:dyDescent="0.25">
      <c r="A67" s="5">
        <v>2535</v>
      </c>
      <c r="B67" s="5" t="s">
        <v>99</v>
      </c>
      <c r="C67" s="5" t="s">
        <v>96</v>
      </c>
      <c r="D67" s="5" t="s">
        <v>37</v>
      </c>
      <c r="E67" s="6" t="s">
        <v>18</v>
      </c>
      <c r="F67" s="10">
        <v>1</v>
      </c>
      <c r="G67" s="10">
        <v>40</v>
      </c>
      <c r="H67" s="8" t="s">
        <v>19</v>
      </c>
      <c r="I67" s="8" t="s">
        <v>20</v>
      </c>
      <c r="J67" s="8" t="s">
        <v>21</v>
      </c>
      <c r="K67" s="6" t="s">
        <v>43</v>
      </c>
      <c r="L67" s="6" t="s">
        <v>23</v>
      </c>
      <c r="M67" s="6">
        <v>310</v>
      </c>
      <c r="N67" s="6" t="s">
        <v>24</v>
      </c>
      <c r="O67" s="6">
        <v>1</v>
      </c>
    </row>
    <row r="68" spans="1:15" x14ac:dyDescent="0.25">
      <c r="A68" s="5">
        <v>2535</v>
      </c>
      <c r="B68" s="5" t="s">
        <v>99</v>
      </c>
      <c r="C68" s="5" t="s">
        <v>96</v>
      </c>
      <c r="D68" s="5" t="s">
        <v>37</v>
      </c>
      <c r="E68" s="6" t="s">
        <v>18</v>
      </c>
      <c r="F68" s="10">
        <v>1</v>
      </c>
      <c r="G68" s="10">
        <v>40</v>
      </c>
      <c r="H68" s="6" t="s">
        <v>38</v>
      </c>
      <c r="I68" s="6" t="s">
        <v>30</v>
      </c>
      <c r="J68" s="6" t="s">
        <v>31</v>
      </c>
      <c r="K68" s="6" t="s">
        <v>32</v>
      </c>
      <c r="L68" s="6" t="s">
        <v>23</v>
      </c>
      <c r="M68" s="6">
        <v>200</v>
      </c>
      <c r="N68" s="6" t="s">
        <v>24</v>
      </c>
      <c r="O68" s="6">
        <v>1</v>
      </c>
    </row>
    <row r="69" spans="1:15" x14ac:dyDescent="0.25">
      <c r="A69" s="5">
        <v>5930</v>
      </c>
      <c r="B69" s="5" t="s">
        <v>116</v>
      </c>
      <c r="C69" s="5" t="s">
        <v>117</v>
      </c>
      <c r="D69" s="5" t="s">
        <v>118</v>
      </c>
      <c r="E69" s="6" t="s">
        <v>18</v>
      </c>
      <c r="F69" s="10">
        <v>12</v>
      </c>
      <c r="G69" s="10">
        <v>48</v>
      </c>
      <c r="H69" s="6" t="s">
        <v>19</v>
      </c>
      <c r="I69" s="6" t="s">
        <v>20</v>
      </c>
      <c r="J69" s="6" t="s">
        <v>28</v>
      </c>
      <c r="K69" s="6" t="s">
        <v>29</v>
      </c>
      <c r="L69" s="6" t="s">
        <v>23</v>
      </c>
      <c r="M69" s="7">
        <v>25</v>
      </c>
      <c r="N69" s="6" t="s">
        <v>24</v>
      </c>
      <c r="O69" s="6">
        <v>1</v>
      </c>
    </row>
    <row r="70" spans="1:15" x14ac:dyDescent="0.25">
      <c r="A70" s="5">
        <v>5930</v>
      </c>
      <c r="B70" s="5" t="s">
        <v>116</v>
      </c>
      <c r="C70" s="5" t="s">
        <v>117</v>
      </c>
      <c r="D70" s="5" t="s">
        <v>118</v>
      </c>
      <c r="E70" s="6" t="s">
        <v>18</v>
      </c>
      <c r="F70" s="10">
        <v>12</v>
      </c>
      <c r="G70" s="10">
        <v>48</v>
      </c>
      <c r="H70" s="6" t="s">
        <v>19</v>
      </c>
      <c r="I70" s="6" t="s">
        <v>20</v>
      </c>
      <c r="J70" s="6" t="s">
        <v>28</v>
      </c>
      <c r="K70" s="6" t="s">
        <v>61</v>
      </c>
      <c r="L70" s="6" t="s">
        <v>23</v>
      </c>
      <c r="M70" s="7">
        <v>37</v>
      </c>
      <c r="N70" s="6" t="s">
        <v>24</v>
      </c>
      <c r="O70" s="6">
        <v>1</v>
      </c>
    </row>
    <row r="71" spans="1:15" x14ac:dyDescent="0.25">
      <c r="A71" s="5">
        <v>5930</v>
      </c>
      <c r="B71" s="5" t="s">
        <v>116</v>
      </c>
      <c r="C71" s="5" t="s">
        <v>117</v>
      </c>
      <c r="D71" s="5" t="s">
        <v>118</v>
      </c>
      <c r="E71" s="6" t="s">
        <v>18</v>
      </c>
      <c r="F71" s="10">
        <v>12</v>
      </c>
      <c r="G71" s="10">
        <v>48</v>
      </c>
      <c r="H71" s="6" t="s">
        <v>27</v>
      </c>
      <c r="I71" s="6" t="s">
        <v>20</v>
      </c>
      <c r="J71" s="6" t="s">
        <v>28</v>
      </c>
      <c r="K71" s="6" t="s">
        <v>29</v>
      </c>
      <c r="L71" s="6" t="s">
        <v>23</v>
      </c>
      <c r="M71" s="7">
        <v>250</v>
      </c>
      <c r="N71" s="6" t="s">
        <v>24</v>
      </c>
      <c r="O71" s="6">
        <v>1</v>
      </c>
    </row>
    <row r="72" spans="1:15" x14ac:dyDescent="0.25">
      <c r="A72" s="5">
        <v>5955</v>
      </c>
      <c r="B72" s="5" t="s">
        <v>154</v>
      </c>
      <c r="C72" s="5" t="s">
        <v>155</v>
      </c>
      <c r="D72" s="5" t="s">
        <v>37</v>
      </c>
      <c r="E72" s="6" t="s">
        <v>18</v>
      </c>
      <c r="F72" s="10">
        <v>4</v>
      </c>
      <c r="G72" s="10">
        <v>40</v>
      </c>
      <c r="H72" s="6" t="s">
        <v>19</v>
      </c>
      <c r="I72" s="6" t="s">
        <v>20</v>
      </c>
      <c r="J72" s="6" t="s">
        <v>21</v>
      </c>
      <c r="K72" s="6" t="s">
        <v>22</v>
      </c>
      <c r="L72" s="6" t="s">
        <v>23</v>
      </c>
      <c r="M72" s="6">
        <v>2</v>
      </c>
      <c r="N72" s="6" t="s">
        <v>24</v>
      </c>
      <c r="O72" s="6">
        <v>1</v>
      </c>
    </row>
    <row r="73" spans="1:15" x14ac:dyDescent="0.25">
      <c r="A73" s="5">
        <v>5955</v>
      </c>
      <c r="B73" s="5" t="s">
        <v>154</v>
      </c>
      <c r="C73" s="5" t="s">
        <v>155</v>
      </c>
      <c r="D73" s="5" t="s">
        <v>37</v>
      </c>
      <c r="E73" s="6" t="s">
        <v>18</v>
      </c>
      <c r="F73" s="10">
        <v>4</v>
      </c>
      <c r="G73" s="10">
        <v>40</v>
      </c>
      <c r="H73" s="6" t="s">
        <v>19</v>
      </c>
      <c r="I73" s="6" t="s">
        <v>30</v>
      </c>
      <c r="J73" s="6" t="s">
        <v>138</v>
      </c>
      <c r="K73" s="6" t="s">
        <v>141</v>
      </c>
      <c r="L73" s="6" t="s">
        <v>23</v>
      </c>
      <c r="M73" s="6">
        <v>144.6</v>
      </c>
      <c r="N73" s="6" t="s">
        <v>24</v>
      </c>
      <c r="O73" s="6">
        <v>1</v>
      </c>
    </row>
    <row r="74" spans="1:15" x14ac:dyDescent="0.25">
      <c r="A74" s="5">
        <v>5955</v>
      </c>
      <c r="B74" s="5" t="s">
        <v>154</v>
      </c>
      <c r="C74" s="5" t="s">
        <v>155</v>
      </c>
      <c r="D74" s="5" t="s">
        <v>37</v>
      </c>
      <c r="E74" s="6" t="s">
        <v>18</v>
      </c>
      <c r="F74" s="10">
        <v>4</v>
      </c>
      <c r="G74" s="10">
        <v>40</v>
      </c>
      <c r="H74" s="6" t="s">
        <v>38</v>
      </c>
      <c r="I74" s="6" t="s">
        <v>30</v>
      </c>
      <c r="J74" s="6" t="s">
        <v>31</v>
      </c>
      <c r="K74" s="6" t="s">
        <v>32</v>
      </c>
      <c r="L74" s="6" t="s">
        <v>23</v>
      </c>
      <c r="M74" s="6">
        <v>200</v>
      </c>
      <c r="N74" s="6" t="s">
        <v>24</v>
      </c>
      <c r="O74" s="6">
        <v>1</v>
      </c>
    </row>
    <row r="75" spans="1:15" x14ac:dyDescent="0.25">
      <c r="A75" s="5">
        <v>10096</v>
      </c>
      <c r="B75" s="5" t="s">
        <v>100</v>
      </c>
      <c r="C75" s="5" t="s">
        <v>96</v>
      </c>
      <c r="D75" s="5" t="s">
        <v>37</v>
      </c>
      <c r="E75" s="6" t="s">
        <v>18</v>
      </c>
      <c r="F75" s="10">
        <v>1</v>
      </c>
      <c r="G75" s="10">
        <v>1</v>
      </c>
      <c r="H75" s="8" t="s">
        <v>19</v>
      </c>
      <c r="I75" s="8" t="s">
        <v>20</v>
      </c>
      <c r="J75" s="8" t="s">
        <v>21</v>
      </c>
      <c r="K75" s="6" t="s">
        <v>43</v>
      </c>
      <c r="L75" s="6" t="s">
        <v>23</v>
      </c>
      <c r="M75" s="6">
        <v>152.26</v>
      </c>
      <c r="N75" s="6" t="s">
        <v>24</v>
      </c>
      <c r="O75" s="6">
        <v>1</v>
      </c>
    </row>
    <row r="76" spans="1:15" x14ac:dyDescent="0.25">
      <c r="A76" s="5">
        <v>10105</v>
      </c>
      <c r="B76" s="5" t="s">
        <v>135</v>
      </c>
      <c r="C76" s="5" t="s">
        <v>136</v>
      </c>
      <c r="D76" s="5" t="s">
        <v>137</v>
      </c>
      <c r="E76" s="6" t="s">
        <v>18</v>
      </c>
      <c r="F76" s="10">
        <v>1</v>
      </c>
      <c r="G76" s="10">
        <v>1</v>
      </c>
      <c r="H76" s="8" t="s">
        <v>19</v>
      </c>
      <c r="I76" s="8" t="s">
        <v>20</v>
      </c>
      <c r="J76" s="8" t="s">
        <v>28</v>
      </c>
      <c r="K76" s="6" t="s">
        <v>29</v>
      </c>
      <c r="L76" s="6" t="s">
        <v>23</v>
      </c>
      <c r="M76" s="6">
        <v>321</v>
      </c>
      <c r="N76" s="6" t="s">
        <v>24</v>
      </c>
      <c r="O76" s="6">
        <v>1</v>
      </c>
    </row>
    <row r="77" spans="1:15" x14ac:dyDescent="0.25">
      <c r="A77" s="5">
        <v>10105</v>
      </c>
      <c r="B77" s="5" t="s">
        <v>135</v>
      </c>
      <c r="C77" s="5" t="s">
        <v>136</v>
      </c>
      <c r="D77" s="5" t="s">
        <v>137</v>
      </c>
      <c r="E77" s="6" t="s">
        <v>18</v>
      </c>
      <c r="F77" s="10">
        <v>1</v>
      </c>
      <c r="G77" s="10">
        <v>1</v>
      </c>
      <c r="H77" s="8" t="s">
        <v>19</v>
      </c>
      <c r="I77" s="6" t="s">
        <v>30</v>
      </c>
      <c r="J77" s="6" t="s">
        <v>138</v>
      </c>
      <c r="K77" s="6"/>
      <c r="L77" s="6" t="s">
        <v>23</v>
      </c>
      <c r="M77" s="6">
        <v>363</v>
      </c>
      <c r="N77" s="6" t="s">
        <v>24</v>
      </c>
      <c r="O77" s="6">
        <v>1</v>
      </c>
    </row>
    <row r="78" spans="1:15" x14ac:dyDescent="0.25">
      <c r="A78" s="5">
        <v>10118</v>
      </c>
      <c r="B78" s="5" t="s">
        <v>119</v>
      </c>
      <c r="C78" s="5" t="s">
        <v>117</v>
      </c>
      <c r="D78" s="5" t="s">
        <v>118</v>
      </c>
      <c r="E78" s="6" t="s">
        <v>18</v>
      </c>
      <c r="F78" s="10">
        <v>12</v>
      </c>
      <c r="G78" s="10">
        <v>48</v>
      </c>
      <c r="H78" s="6" t="s">
        <v>19</v>
      </c>
      <c r="I78" s="6" t="s">
        <v>20</v>
      </c>
      <c r="J78" s="6" t="s">
        <v>28</v>
      </c>
      <c r="K78" s="6" t="s">
        <v>29</v>
      </c>
      <c r="L78" s="6" t="s">
        <v>23</v>
      </c>
      <c r="M78" s="7">
        <v>25</v>
      </c>
      <c r="N78" s="6" t="s">
        <v>24</v>
      </c>
      <c r="O78" s="6">
        <v>1</v>
      </c>
    </row>
    <row r="79" spans="1:15" x14ac:dyDescent="0.25">
      <c r="A79" s="5">
        <v>10118</v>
      </c>
      <c r="B79" s="5" t="s">
        <v>119</v>
      </c>
      <c r="C79" s="5" t="s">
        <v>117</v>
      </c>
      <c r="D79" s="5" t="s">
        <v>118</v>
      </c>
      <c r="E79" s="6" t="s">
        <v>18</v>
      </c>
      <c r="F79" s="10">
        <v>12</v>
      </c>
      <c r="G79" s="10">
        <v>48</v>
      </c>
      <c r="H79" s="6" t="s">
        <v>19</v>
      </c>
      <c r="I79" s="6" t="s">
        <v>20</v>
      </c>
      <c r="J79" s="6" t="s">
        <v>28</v>
      </c>
      <c r="K79" s="6" t="s">
        <v>61</v>
      </c>
      <c r="L79" s="6" t="s">
        <v>23</v>
      </c>
      <c r="M79" s="7">
        <v>37</v>
      </c>
      <c r="N79" s="6" t="s">
        <v>24</v>
      </c>
      <c r="O79" s="6">
        <v>1</v>
      </c>
    </row>
    <row r="80" spans="1:15" x14ac:dyDescent="0.25">
      <c r="A80" s="5">
        <v>10118</v>
      </c>
      <c r="B80" s="5" t="s">
        <v>119</v>
      </c>
      <c r="C80" s="5" t="s">
        <v>117</v>
      </c>
      <c r="D80" s="5" t="s">
        <v>118</v>
      </c>
      <c r="E80" s="6" t="s">
        <v>18</v>
      </c>
      <c r="F80" s="10">
        <v>12</v>
      </c>
      <c r="G80" s="10">
        <v>48</v>
      </c>
      <c r="H80" s="6" t="s">
        <v>27</v>
      </c>
      <c r="I80" s="6" t="s">
        <v>20</v>
      </c>
      <c r="J80" s="6" t="s">
        <v>28</v>
      </c>
      <c r="K80" s="6" t="s">
        <v>29</v>
      </c>
      <c r="L80" s="6" t="s">
        <v>23</v>
      </c>
      <c r="M80" s="7">
        <v>250</v>
      </c>
      <c r="N80" s="6" t="s">
        <v>24</v>
      </c>
      <c r="O80" s="6">
        <v>1</v>
      </c>
    </row>
    <row r="81" spans="1:15" x14ac:dyDescent="0.25">
      <c r="A81" s="5">
        <v>10148</v>
      </c>
      <c r="B81" s="5" t="s">
        <v>165</v>
      </c>
      <c r="C81" s="5" t="s">
        <v>166</v>
      </c>
      <c r="D81" s="5" t="s">
        <v>37</v>
      </c>
      <c r="E81" s="6" t="s">
        <v>18</v>
      </c>
      <c r="F81" s="10">
        <v>6</v>
      </c>
      <c r="G81" s="10">
        <v>1</v>
      </c>
      <c r="H81" s="6" t="s">
        <v>19</v>
      </c>
      <c r="I81" s="6" t="s">
        <v>20</v>
      </c>
      <c r="J81" s="6" t="s">
        <v>21</v>
      </c>
      <c r="K81" s="6" t="s">
        <v>22</v>
      </c>
      <c r="L81" s="6" t="s">
        <v>23</v>
      </c>
      <c r="M81" s="6">
        <v>6.4</v>
      </c>
      <c r="N81" s="6" t="s">
        <v>24</v>
      </c>
      <c r="O81" s="6">
        <v>1</v>
      </c>
    </row>
    <row r="82" spans="1:15" x14ac:dyDescent="0.25">
      <c r="A82" s="5">
        <v>10148</v>
      </c>
      <c r="B82" s="5" t="s">
        <v>165</v>
      </c>
      <c r="C82" s="5" t="s">
        <v>166</v>
      </c>
      <c r="D82" s="5" t="s">
        <v>37</v>
      </c>
      <c r="E82" s="6" t="s">
        <v>18</v>
      </c>
      <c r="F82" s="10">
        <v>6</v>
      </c>
      <c r="G82" s="10">
        <v>1</v>
      </c>
      <c r="H82" s="6" t="s">
        <v>19</v>
      </c>
      <c r="I82" s="6" t="s">
        <v>25</v>
      </c>
      <c r="J82" s="6" t="s">
        <v>25</v>
      </c>
      <c r="K82" s="6" t="s">
        <v>26</v>
      </c>
      <c r="L82" s="6" t="s">
        <v>23</v>
      </c>
      <c r="M82" s="6">
        <v>242</v>
      </c>
      <c r="N82" s="6" t="s">
        <v>24</v>
      </c>
      <c r="O82" s="6">
        <v>1</v>
      </c>
    </row>
    <row r="83" spans="1:15" x14ac:dyDescent="0.25">
      <c r="A83" s="5">
        <v>10148</v>
      </c>
      <c r="B83" s="5" t="s">
        <v>165</v>
      </c>
      <c r="C83" s="5" t="s">
        <v>166</v>
      </c>
      <c r="D83" s="5" t="s">
        <v>37</v>
      </c>
      <c r="E83" s="6" t="s">
        <v>18</v>
      </c>
      <c r="F83" s="10">
        <v>6</v>
      </c>
      <c r="G83" s="10">
        <v>1</v>
      </c>
      <c r="H83" s="6" t="s">
        <v>27</v>
      </c>
      <c r="I83" s="6" t="s">
        <v>20</v>
      </c>
      <c r="J83" s="6" t="s">
        <v>28</v>
      </c>
      <c r="K83" s="6" t="s">
        <v>29</v>
      </c>
      <c r="L83" s="6" t="s">
        <v>23</v>
      </c>
      <c r="M83" s="6">
        <v>347</v>
      </c>
      <c r="N83" s="6" t="s">
        <v>24</v>
      </c>
      <c r="O83" s="6">
        <v>1</v>
      </c>
    </row>
    <row r="84" spans="1:15" x14ac:dyDescent="0.25">
      <c r="A84" s="5">
        <v>10177</v>
      </c>
      <c r="B84" s="5" t="s">
        <v>134</v>
      </c>
      <c r="C84" s="5" t="s">
        <v>117</v>
      </c>
      <c r="D84" s="5" t="s">
        <v>124</v>
      </c>
      <c r="E84" s="6" t="s">
        <v>18</v>
      </c>
      <c r="F84" s="10">
        <v>8</v>
      </c>
      <c r="G84" s="10">
        <v>1</v>
      </c>
      <c r="H84" s="8" t="s">
        <v>19</v>
      </c>
      <c r="I84" s="8" t="s">
        <v>20</v>
      </c>
      <c r="J84" s="8" t="s">
        <v>28</v>
      </c>
      <c r="K84" s="6" t="s">
        <v>29</v>
      </c>
      <c r="L84" s="6" t="s">
        <v>23</v>
      </c>
      <c r="M84" s="6">
        <v>2.1</v>
      </c>
      <c r="N84" s="6" t="s">
        <v>24</v>
      </c>
      <c r="O84" s="6">
        <v>1</v>
      </c>
    </row>
    <row r="85" spans="1:15" x14ac:dyDescent="0.25">
      <c r="A85" s="5">
        <v>10177</v>
      </c>
      <c r="B85" s="5" t="s">
        <v>134</v>
      </c>
      <c r="C85" s="5" t="s">
        <v>117</v>
      </c>
      <c r="D85" s="5" t="s">
        <v>124</v>
      </c>
      <c r="E85" s="6" t="s">
        <v>18</v>
      </c>
      <c r="F85" s="10">
        <v>8</v>
      </c>
      <c r="G85" s="10">
        <v>1</v>
      </c>
      <c r="H85" s="8" t="s">
        <v>27</v>
      </c>
      <c r="I85" s="8" t="s">
        <v>20</v>
      </c>
      <c r="J85" s="8" t="s">
        <v>28</v>
      </c>
      <c r="K85" s="6" t="s">
        <v>29</v>
      </c>
      <c r="L85" s="6" t="s">
        <v>23</v>
      </c>
      <c r="M85" s="6">
        <v>330</v>
      </c>
      <c r="N85" s="6" t="s">
        <v>24</v>
      </c>
      <c r="O85" s="6">
        <v>1</v>
      </c>
    </row>
    <row r="86" spans="1:15" x14ac:dyDescent="0.25">
      <c r="A86" s="5">
        <v>10376</v>
      </c>
      <c r="B86" s="5" t="s">
        <v>145</v>
      </c>
      <c r="C86" s="5" t="s">
        <v>146</v>
      </c>
      <c r="D86" s="5" t="s">
        <v>17</v>
      </c>
      <c r="E86" s="6" t="s">
        <v>18</v>
      </c>
      <c r="F86" s="10">
        <v>96</v>
      </c>
      <c r="G86" s="10">
        <v>1</v>
      </c>
      <c r="H86" s="6" t="s">
        <v>19</v>
      </c>
      <c r="I86" s="6" t="s">
        <v>30</v>
      </c>
      <c r="J86" s="6" t="s">
        <v>106</v>
      </c>
      <c r="K86" s="6" t="s">
        <v>147</v>
      </c>
      <c r="L86" s="6" t="s">
        <v>23</v>
      </c>
      <c r="M86" s="6">
        <v>2.5</v>
      </c>
      <c r="N86" s="6" t="s">
        <v>24</v>
      </c>
      <c r="O86" s="6">
        <v>1</v>
      </c>
    </row>
    <row r="87" spans="1:15" x14ac:dyDescent="0.25">
      <c r="A87" s="5">
        <v>10376</v>
      </c>
      <c r="B87" s="5" t="s">
        <v>145</v>
      </c>
      <c r="C87" s="5" t="s">
        <v>146</v>
      </c>
      <c r="D87" s="5" t="s">
        <v>17</v>
      </c>
      <c r="E87" s="6" t="s">
        <v>18</v>
      </c>
      <c r="F87" s="10">
        <v>96</v>
      </c>
      <c r="G87" s="10">
        <v>1</v>
      </c>
      <c r="H87" s="6" t="s">
        <v>27</v>
      </c>
      <c r="I87" s="6" t="s">
        <v>20</v>
      </c>
      <c r="J87" s="6" t="s">
        <v>28</v>
      </c>
      <c r="K87" s="6" t="s">
        <v>29</v>
      </c>
      <c r="L87" s="6" t="s">
        <v>23</v>
      </c>
      <c r="M87" s="6">
        <v>187</v>
      </c>
      <c r="N87" s="6" t="s">
        <v>24</v>
      </c>
      <c r="O87" s="6">
        <v>1</v>
      </c>
    </row>
    <row r="88" spans="1:15" x14ac:dyDescent="0.25">
      <c r="A88" s="5">
        <v>10377</v>
      </c>
      <c r="B88" s="5" t="s">
        <v>148</v>
      </c>
      <c r="C88" s="5" t="s">
        <v>146</v>
      </c>
      <c r="D88" s="5" t="s">
        <v>17</v>
      </c>
      <c r="E88" s="6" t="s">
        <v>18</v>
      </c>
      <c r="F88" s="10">
        <v>96</v>
      </c>
      <c r="G88" s="10">
        <v>1</v>
      </c>
      <c r="H88" s="6" t="s">
        <v>19</v>
      </c>
      <c r="I88" s="6" t="s">
        <v>30</v>
      </c>
      <c r="J88" s="6" t="s">
        <v>106</v>
      </c>
      <c r="K88" s="6" t="s">
        <v>147</v>
      </c>
      <c r="L88" s="6" t="s">
        <v>23</v>
      </c>
      <c r="M88" s="6">
        <v>2.5</v>
      </c>
      <c r="N88" s="6" t="s">
        <v>24</v>
      </c>
      <c r="O88" s="6">
        <v>1</v>
      </c>
    </row>
    <row r="89" spans="1:15" x14ac:dyDescent="0.25">
      <c r="A89" s="5">
        <v>10377</v>
      </c>
      <c r="B89" s="5" t="s">
        <v>148</v>
      </c>
      <c r="C89" s="5" t="s">
        <v>146</v>
      </c>
      <c r="D89" s="5" t="s">
        <v>17</v>
      </c>
      <c r="E89" s="6" t="s">
        <v>18</v>
      </c>
      <c r="F89" s="10">
        <v>96</v>
      </c>
      <c r="G89" s="10">
        <v>1</v>
      </c>
      <c r="H89" s="6" t="s">
        <v>27</v>
      </c>
      <c r="I89" s="6" t="s">
        <v>20</v>
      </c>
      <c r="J89" s="6" t="s">
        <v>28</v>
      </c>
      <c r="K89" s="6" t="s">
        <v>29</v>
      </c>
      <c r="L89" s="6" t="s">
        <v>23</v>
      </c>
      <c r="M89" s="6">
        <v>187</v>
      </c>
      <c r="N89" s="6" t="s">
        <v>24</v>
      </c>
      <c r="O89" s="6">
        <v>1</v>
      </c>
    </row>
    <row r="90" spans="1:15" x14ac:dyDescent="0.25">
      <c r="A90" s="5">
        <v>10378</v>
      </c>
      <c r="B90" s="5" t="s">
        <v>149</v>
      </c>
      <c r="C90" s="5" t="s">
        <v>146</v>
      </c>
      <c r="D90" s="5" t="s">
        <v>17</v>
      </c>
      <c r="E90" s="6" t="s">
        <v>18</v>
      </c>
      <c r="F90" s="10">
        <v>96</v>
      </c>
      <c r="G90" s="10">
        <v>1</v>
      </c>
      <c r="H90" s="6" t="s">
        <v>19</v>
      </c>
      <c r="I90" s="6" t="s">
        <v>30</v>
      </c>
      <c r="J90" s="6" t="s">
        <v>106</v>
      </c>
      <c r="K90" s="6" t="s">
        <v>147</v>
      </c>
      <c r="L90" s="6" t="s">
        <v>23</v>
      </c>
      <c r="M90" s="6">
        <v>2.5</v>
      </c>
      <c r="N90" s="6" t="s">
        <v>24</v>
      </c>
      <c r="O90" s="6">
        <v>1</v>
      </c>
    </row>
    <row r="91" spans="1:15" x14ac:dyDescent="0.25">
      <c r="A91" s="5">
        <v>10378</v>
      </c>
      <c r="B91" s="5" t="s">
        <v>149</v>
      </c>
      <c r="C91" s="5" t="s">
        <v>146</v>
      </c>
      <c r="D91" s="5" t="s">
        <v>17</v>
      </c>
      <c r="E91" s="6" t="s">
        <v>18</v>
      </c>
      <c r="F91" s="10">
        <v>96</v>
      </c>
      <c r="G91" s="10">
        <v>1</v>
      </c>
      <c r="H91" s="6" t="s">
        <v>27</v>
      </c>
      <c r="I91" s="6" t="s">
        <v>20</v>
      </c>
      <c r="J91" s="6" t="s">
        <v>28</v>
      </c>
      <c r="K91" s="6" t="s">
        <v>29</v>
      </c>
      <c r="L91" s="6" t="s">
        <v>23</v>
      </c>
      <c r="M91" s="6">
        <v>187</v>
      </c>
      <c r="N91" s="6" t="s">
        <v>24</v>
      </c>
      <c r="O91" s="6">
        <v>1</v>
      </c>
    </row>
    <row r="92" spans="1:15" x14ac:dyDescent="0.25">
      <c r="A92" s="5">
        <v>10379</v>
      </c>
      <c r="B92" s="5" t="s">
        <v>150</v>
      </c>
      <c r="C92" s="5" t="s">
        <v>146</v>
      </c>
      <c r="D92" s="5" t="s">
        <v>17</v>
      </c>
      <c r="E92" s="6" t="s">
        <v>18</v>
      </c>
      <c r="F92" s="10">
        <v>96</v>
      </c>
      <c r="G92" s="10">
        <v>1</v>
      </c>
      <c r="H92" s="6" t="s">
        <v>19</v>
      </c>
      <c r="I92" s="6" t="s">
        <v>30</v>
      </c>
      <c r="J92" s="6" t="s">
        <v>106</v>
      </c>
      <c r="K92" s="6" t="s">
        <v>147</v>
      </c>
      <c r="L92" s="6" t="s">
        <v>23</v>
      </c>
      <c r="M92" s="6">
        <v>2.5</v>
      </c>
      <c r="N92" s="6" t="s">
        <v>24</v>
      </c>
      <c r="O92" s="6">
        <v>1</v>
      </c>
    </row>
    <row r="93" spans="1:15" x14ac:dyDescent="0.25">
      <c r="A93" s="5">
        <v>10379</v>
      </c>
      <c r="B93" s="5" t="s">
        <v>150</v>
      </c>
      <c r="C93" s="5" t="s">
        <v>146</v>
      </c>
      <c r="D93" s="5" t="s">
        <v>17</v>
      </c>
      <c r="E93" s="6" t="s">
        <v>18</v>
      </c>
      <c r="F93" s="10">
        <v>96</v>
      </c>
      <c r="G93" s="10">
        <v>1</v>
      </c>
      <c r="H93" s="6" t="s">
        <v>27</v>
      </c>
      <c r="I93" s="6" t="s">
        <v>20</v>
      </c>
      <c r="J93" s="6" t="s">
        <v>28</v>
      </c>
      <c r="K93" s="6" t="s">
        <v>29</v>
      </c>
      <c r="L93" s="6" t="s">
        <v>23</v>
      </c>
      <c r="M93" s="6">
        <v>187</v>
      </c>
      <c r="N93" s="6" t="s">
        <v>24</v>
      </c>
      <c r="O93" s="6">
        <v>1</v>
      </c>
    </row>
    <row r="94" spans="1:15" x14ac:dyDescent="0.25">
      <c r="A94" s="5">
        <v>10385</v>
      </c>
      <c r="B94" s="5" t="s">
        <v>151</v>
      </c>
      <c r="C94" s="5" t="s">
        <v>146</v>
      </c>
      <c r="D94" s="5" t="s">
        <v>17</v>
      </c>
      <c r="E94" s="6" t="s">
        <v>18</v>
      </c>
      <c r="F94" s="10">
        <v>96</v>
      </c>
      <c r="G94" s="10">
        <v>1</v>
      </c>
      <c r="H94" s="6" t="s">
        <v>19</v>
      </c>
      <c r="I94" s="6" t="s">
        <v>30</v>
      </c>
      <c r="J94" s="6" t="s">
        <v>106</v>
      </c>
      <c r="K94" s="6" t="s">
        <v>147</v>
      </c>
      <c r="L94" s="6" t="s">
        <v>23</v>
      </c>
      <c r="M94" s="6">
        <v>2.5</v>
      </c>
      <c r="N94" s="6" t="s">
        <v>24</v>
      </c>
      <c r="O94" s="6">
        <v>1</v>
      </c>
    </row>
    <row r="95" spans="1:15" x14ac:dyDescent="0.25">
      <c r="A95" s="5">
        <v>10385</v>
      </c>
      <c r="B95" s="5" t="s">
        <v>151</v>
      </c>
      <c r="C95" s="5" t="s">
        <v>146</v>
      </c>
      <c r="D95" s="5" t="s">
        <v>17</v>
      </c>
      <c r="E95" s="6" t="s">
        <v>18</v>
      </c>
      <c r="F95" s="10">
        <v>96</v>
      </c>
      <c r="G95" s="10">
        <v>1</v>
      </c>
      <c r="H95" s="6" t="s">
        <v>27</v>
      </c>
      <c r="I95" s="6" t="s">
        <v>20</v>
      </c>
      <c r="J95" s="6" t="s">
        <v>28</v>
      </c>
      <c r="K95" s="6" t="s">
        <v>29</v>
      </c>
      <c r="L95" s="6" t="s">
        <v>23</v>
      </c>
      <c r="M95" s="6">
        <v>187</v>
      </c>
      <c r="N95" s="6" t="s">
        <v>24</v>
      </c>
      <c r="O95" s="6">
        <v>1</v>
      </c>
    </row>
    <row r="96" spans="1:15" x14ac:dyDescent="0.25">
      <c r="A96" s="5">
        <v>10407</v>
      </c>
      <c r="B96" s="5" t="s">
        <v>101</v>
      </c>
      <c r="C96" s="5" t="s">
        <v>96</v>
      </c>
      <c r="D96" s="5" t="s">
        <v>37</v>
      </c>
      <c r="E96" s="6" t="s">
        <v>18</v>
      </c>
      <c r="F96" s="10">
        <v>1</v>
      </c>
      <c r="G96" s="10">
        <v>1</v>
      </c>
      <c r="H96" s="8" t="s">
        <v>19</v>
      </c>
      <c r="I96" s="8" t="s">
        <v>20</v>
      </c>
      <c r="J96" s="8" t="s">
        <v>21</v>
      </c>
      <c r="K96" s="6" t="s">
        <v>43</v>
      </c>
      <c r="L96" s="6" t="s">
        <v>23</v>
      </c>
      <c r="M96" s="6">
        <v>152.26</v>
      </c>
      <c r="N96" s="6" t="s">
        <v>24</v>
      </c>
      <c r="O96" s="6">
        <v>1</v>
      </c>
    </row>
    <row r="97" spans="1:15" x14ac:dyDescent="0.25">
      <c r="A97" s="5">
        <v>10418</v>
      </c>
      <c r="B97" s="5" t="s">
        <v>102</v>
      </c>
      <c r="C97" s="5" t="s">
        <v>103</v>
      </c>
      <c r="D97" s="5" t="s">
        <v>104</v>
      </c>
      <c r="E97" s="6" t="s">
        <v>18</v>
      </c>
      <c r="F97" s="10">
        <v>20</v>
      </c>
      <c r="G97" s="10">
        <v>1</v>
      </c>
      <c r="H97" s="8" t="s">
        <v>19</v>
      </c>
      <c r="I97" s="6" t="s">
        <v>30</v>
      </c>
      <c r="J97" s="6" t="s">
        <v>31</v>
      </c>
      <c r="K97" s="6" t="s">
        <v>32</v>
      </c>
      <c r="L97" s="6" t="s">
        <v>23</v>
      </c>
      <c r="M97" s="6">
        <v>15</v>
      </c>
      <c r="N97" s="6" t="s">
        <v>24</v>
      </c>
      <c r="O97" s="6">
        <v>1</v>
      </c>
    </row>
    <row r="98" spans="1:15" x14ac:dyDescent="0.25">
      <c r="A98" s="5">
        <v>10418</v>
      </c>
      <c r="B98" s="5" t="s">
        <v>102</v>
      </c>
      <c r="C98" s="5" t="s">
        <v>103</v>
      </c>
      <c r="D98" s="5" t="s">
        <v>104</v>
      </c>
      <c r="E98" s="6" t="s">
        <v>18</v>
      </c>
      <c r="F98" s="10">
        <v>20</v>
      </c>
      <c r="G98" s="10">
        <v>1</v>
      </c>
      <c r="H98" s="6" t="s">
        <v>105</v>
      </c>
      <c r="I98" s="6" t="s">
        <v>30</v>
      </c>
      <c r="J98" s="6" t="s">
        <v>106</v>
      </c>
      <c r="K98" s="6" t="s">
        <v>107</v>
      </c>
      <c r="L98" s="6" t="s">
        <v>23</v>
      </c>
      <c r="M98" s="6">
        <v>8</v>
      </c>
      <c r="N98" s="6" t="s">
        <v>24</v>
      </c>
      <c r="O98" s="6">
        <v>1</v>
      </c>
    </row>
    <row r="99" spans="1:15" x14ac:dyDescent="0.25">
      <c r="A99" s="5">
        <v>10418</v>
      </c>
      <c r="B99" s="5" t="s">
        <v>102</v>
      </c>
      <c r="C99" s="5" t="s">
        <v>103</v>
      </c>
      <c r="D99" s="5" t="s">
        <v>104</v>
      </c>
      <c r="E99" s="6" t="s">
        <v>18</v>
      </c>
      <c r="F99" s="10">
        <v>20</v>
      </c>
      <c r="G99" s="10">
        <v>1</v>
      </c>
      <c r="H99" s="8" t="s">
        <v>27</v>
      </c>
      <c r="I99" s="8" t="s">
        <v>20</v>
      </c>
      <c r="J99" s="8" t="s">
        <v>28</v>
      </c>
      <c r="K99" s="6" t="s">
        <v>29</v>
      </c>
      <c r="L99" s="6" t="s">
        <v>23</v>
      </c>
      <c r="M99" s="6">
        <v>803</v>
      </c>
      <c r="N99" s="6" t="s">
        <v>24</v>
      </c>
      <c r="O99" s="6">
        <v>1</v>
      </c>
    </row>
    <row r="100" spans="1:15" x14ac:dyDescent="0.25">
      <c r="A100" s="5">
        <v>10427</v>
      </c>
      <c r="B100" s="5" t="s">
        <v>108</v>
      </c>
      <c r="C100" s="5" t="s">
        <v>103</v>
      </c>
      <c r="D100" s="5" t="s">
        <v>104</v>
      </c>
      <c r="E100" s="6" t="s">
        <v>18</v>
      </c>
      <c r="F100" s="10">
        <v>10</v>
      </c>
      <c r="G100" s="10">
        <v>1</v>
      </c>
      <c r="H100" s="8" t="s">
        <v>19</v>
      </c>
      <c r="I100" s="6" t="s">
        <v>30</v>
      </c>
      <c r="J100" s="6" t="s">
        <v>31</v>
      </c>
      <c r="K100" s="6" t="s">
        <v>32</v>
      </c>
      <c r="L100" s="6" t="s">
        <v>23</v>
      </c>
      <c r="M100" s="6">
        <v>8</v>
      </c>
      <c r="N100" s="6" t="s">
        <v>24</v>
      </c>
      <c r="O100" s="6">
        <v>1</v>
      </c>
    </row>
    <row r="101" spans="1:15" x14ac:dyDescent="0.25">
      <c r="A101" s="5">
        <v>10427</v>
      </c>
      <c r="B101" s="5" t="s">
        <v>108</v>
      </c>
      <c r="C101" s="5" t="s">
        <v>103</v>
      </c>
      <c r="D101" s="5" t="s">
        <v>104</v>
      </c>
      <c r="E101" s="6" t="s">
        <v>18</v>
      </c>
      <c r="F101" s="10">
        <v>10</v>
      </c>
      <c r="G101" s="10">
        <v>1</v>
      </c>
      <c r="H101" s="6" t="s">
        <v>105</v>
      </c>
      <c r="I101" s="6" t="s">
        <v>30</v>
      </c>
      <c r="J101" s="6" t="s">
        <v>106</v>
      </c>
      <c r="K101" s="6" t="s">
        <v>109</v>
      </c>
      <c r="L101" s="6" t="s">
        <v>23</v>
      </c>
      <c r="M101" s="6">
        <v>2.2999999999999998</v>
      </c>
      <c r="N101" s="6" t="s">
        <v>24</v>
      </c>
      <c r="O101" s="6">
        <v>1</v>
      </c>
    </row>
    <row r="102" spans="1:15" x14ac:dyDescent="0.25">
      <c r="A102" s="5">
        <v>10427</v>
      </c>
      <c r="B102" s="5" t="s">
        <v>108</v>
      </c>
      <c r="C102" s="5" t="s">
        <v>103</v>
      </c>
      <c r="D102" s="5" t="s">
        <v>104</v>
      </c>
      <c r="E102" s="6" t="s">
        <v>18</v>
      </c>
      <c r="F102" s="10">
        <v>10</v>
      </c>
      <c r="G102" s="10">
        <v>1</v>
      </c>
      <c r="H102" s="8" t="s">
        <v>27</v>
      </c>
      <c r="I102" s="8" t="s">
        <v>20</v>
      </c>
      <c r="J102" s="8" t="s">
        <v>28</v>
      </c>
      <c r="K102" s="6" t="s">
        <v>29</v>
      </c>
      <c r="L102" s="6" t="s">
        <v>23</v>
      </c>
      <c r="M102" s="6">
        <v>330</v>
      </c>
      <c r="N102" s="6" t="s">
        <v>24</v>
      </c>
      <c r="O102" s="6">
        <v>1</v>
      </c>
    </row>
    <row r="103" spans="1:15" x14ac:dyDescent="0.25">
      <c r="A103" s="5">
        <v>10428</v>
      </c>
      <c r="B103" s="5" t="s">
        <v>110</v>
      </c>
      <c r="C103" s="5" t="s">
        <v>103</v>
      </c>
      <c r="D103" s="5" t="s">
        <v>104</v>
      </c>
      <c r="E103" s="6" t="s">
        <v>18</v>
      </c>
      <c r="F103" s="10">
        <v>10</v>
      </c>
      <c r="G103" s="10">
        <v>1</v>
      </c>
      <c r="H103" s="8" t="s">
        <v>19</v>
      </c>
      <c r="I103" s="6" t="s">
        <v>30</v>
      </c>
      <c r="J103" s="6" t="s">
        <v>31</v>
      </c>
      <c r="K103" s="6" t="s">
        <v>32</v>
      </c>
      <c r="L103" s="6" t="s">
        <v>23</v>
      </c>
      <c r="M103" s="6">
        <v>8</v>
      </c>
      <c r="N103" s="6" t="s">
        <v>24</v>
      </c>
      <c r="O103" s="6">
        <v>1</v>
      </c>
    </row>
    <row r="104" spans="1:15" x14ac:dyDescent="0.25">
      <c r="A104" s="5">
        <v>10428</v>
      </c>
      <c r="B104" s="5" t="s">
        <v>110</v>
      </c>
      <c r="C104" s="5" t="s">
        <v>103</v>
      </c>
      <c r="D104" s="5" t="s">
        <v>104</v>
      </c>
      <c r="E104" s="6" t="s">
        <v>18</v>
      </c>
      <c r="F104" s="10">
        <v>10</v>
      </c>
      <c r="G104" s="10">
        <v>1</v>
      </c>
      <c r="H104" s="6" t="s">
        <v>105</v>
      </c>
      <c r="I104" s="6" t="s">
        <v>30</v>
      </c>
      <c r="J104" s="6" t="s">
        <v>106</v>
      </c>
      <c r="K104" s="6" t="s">
        <v>109</v>
      </c>
      <c r="L104" s="6" t="s">
        <v>23</v>
      </c>
      <c r="M104" s="6">
        <v>2.9</v>
      </c>
      <c r="N104" s="6" t="s">
        <v>24</v>
      </c>
      <c r="O104" s="6">
        <v>1</v>
      </c>
    </row>
    <row r="105" spans="1:15" x14ac:dyDescent="0.25">
      <c r="A105" s="5">
        <v>10428</v>
      </c>
      <c r="B105" s="5" t="s">
        <v>110</v>
      </c>
      <c r="C105" s="5" t="s">
        <v>103</v>
      </c>
      <c r="D105" s="5" t="s">
        <v>104</v>
      </c>
      <c r="E105" s="6" t="s">
        <v>18</v>
      </c>
      <c r="F105" s="10">
        <v>10</v>
      </c>
      <c r="G105" s="10">
        <v>1</v>
      </c>
      <c r="H105" s="8" t="s">
        <v>27</v>
      </c>
      <c r="I105" s="8" t="s">
        <v>20</v>
      </c>
      <c r="J105" s="8" t="s">
        <v>28</v>
      </c>
      <c r="K105" s="6" t="s">
        <v>29</v>
      </c>
      <c r="L105" s="6" t="s">
        <v>23</v>
      </c>
      <c r="M105" s="6">
        <v>375</v>
      </c>
      <c r="N105" s="6" t="s">
        <v>24</v>
      </c>
      <c r="O105" s="6">
        <v>1</v>
      </c>
    </row>
    <row r="106" spans="1:15" x14ac:dyDescent="0.25">
      <c r="A106" s="5">
        <v>10487</v>
      </c>
      <c r="B106" s="5" t="s">
        <v>111</v>
      </c>
      <c r="C106" s="5" t="s">
        <v>103</v>
      </c>
      <c r="D106" s="5" t="s">
        <v>104</v>
      </c>
      <c r="E106" s="6" t="s">
        <v>18</v>
      </c>
      <c r="F106" s="10">
        <v>16</v>
      </c>
      <c r="G106" s="10">
        <v>1</v>
      </c>
      <c r="H106" s="8" t="s">
        <v>19</v>
      </c>
      <c r="I106" s="6" t="s">
        <v>30</v>
      </c>
      <c r="J106" s="6" t="s">
        <v>31</v>
      </c>
      <c r="K106" s="6" t="s">
        <v>32</v>
      </c>
      <c r="L106" s="6" t="s">
        <v>23</v>
      </c>
      <c r="M106" s="6">
        <v>6</v>
      </c>
      <c r="N106" s="6" t="s">
        <v>24</v>
      </c>
      <c r="O106" s="6">
        <v>1</v>
      </c>
    </row>
    <row r="107" spans="1:15" x14ac:dyDescent="0.25">
      <c r="A107" s="5">
        <v>10487</v>
      </c>
      <c r="B107" s="5" t="s">
        <v>111</v>
      </c>
      <c r="C107" s="5" t="s">
        <v>103</v>
      </c>
      <c r="D107" s="5" t="s">
        <v>104</v>
      </c>
      <c r="E107" s="6" t="s">
        <v>18</v>
      </c>
      <c r="F107" s="10">
        <v>16</v>
      </c>
      <c r="G107" s="10">
        <v>1</v>
      </c>
      <c r="H107" s="6" t="s">
        <v>105</v>
      </c>
      <c r="I107" s="6" t="s">
        <v>30</v>
      </c>
      <c r="J107" s="6" t="s">
        <v>106</v>
      </c>
      <c r="K107" s="6" t="s">
        <v>107</v>
      </c>
      <c r="L107" s="6" t="s">
        <v>23</v>
      </c>
      <c r="M107" s="6">
        <v>8</v>
      </c>
      <c r="N107" s="6" t="s">
        <v>24</v>
      </c>
      <c r="O107" s="6">
        <v>1</v>
      </c>
    </row>
    <row r="108" spans="1:15" x14ac:dyDescent="0.25">
      <c r="A108" s="5">
        <v>10487</v>
      </c>
      <c r="B108" s="5" t="s">
        <v>111</v>
      </c>
      <c r="C108" s="5" t="s">
        <v>103</v>
      </c>
      <c r="D108" s="5" t="s">
        <v>104</v>
      </c>
      <c r="E108" s="6" t="s">
        <v>18</v>
      </c>
      <c r="F108" s="10">
        <v>16</v>
      </c>
      <c r="G108" s="10">
        <v>1</v>
      </c>
      <c r="H108" s="8" t="s">
        <v>27</v>
      </c>
      <c r="I108" s="8" t="s">
        <v>20</v>
      </c>
      <c r="J108" s="8" t="s">
        <v>28</v>
      </c>
      <c r="K108" s="6" t="s">
        <v>29</v>
      </c>
      <c r="L108" s="6" t="s">
        <v>23</v>
      </c>
      <c r="M108" s="6">
        <v>670</v>
      </c>
      <c r="N108" s="6" t="s">
        <v>24</v>
      </c>
      <c r="O108" s="6">
        <v>1</v>
      </c>
    </row>
    <row r="109" spans="1:15" x14ac:dyDescent="0.25">
      <c r="A109" s="5">
        <v>10488</v>
      </c>
      <c r="B109" s="5" t="s">
        <v>112</v>
      </c>
      <c r="C109" s="5" t="s">
        <v>103</v>
      </c>
      <c r="D109" s="5" t="s">
        <v>104</v>
      </c>
      <c r="E109" s="6" t="s">
        <v>18</v>
      </c>
      <c r="F109" s="10">
        <v>25</v>
      </c>
      <c r="G109" s="10">
        <v>1</v>
      </c>
      <c r="H109" s="8" t="s">
        <v>19</v>
      </c>
      <c r="I109" s="6" t="s">
        <v>30</v>
      </c>
      <c r="J109" s="6" t="s">
        <v>31</v>
      </c>
      <c r="K109" s="6" t="s">
        <v>32</v>
      </c>
      <c r="L109" s="6" t="s">
        <v>23</v>
      </c>
      <c r="M109" s="6">
        <v>4.7</v>
      </c>
      <c r="N109" s="6" t="s">
        <v>24</v>
      </c>
      <c r="O109" s="6">
        <v>1</v>
      </c>
    </row>
    <row r="110" spans="1:15" x14ac:dyDescent="0.25">
      <c r="A110" s="5">
        <v>10488</v>
      </c>
      <c r="B110" s="5" t="s">
        <v>112</v>
      </c>
      <c r="C110" s="5" t="s">
        <v>103</v>
      </c>
      <c r="D110" s="5" t="s">
        <v>104</v>
      </c>
      <c r="E110" s="6" t="s">
        <v>18</v>
      </c>
      <c r="F110" s="10">
        <v>25</v>
      </c>
      <c r="G110" s="10">
        <v>1</v>
      </c>
      <c r="H110" s="6" t="s">
        <v>105</v>
      </c>
      <c r="I110" s="6" t="s">
        <v>30</v>
      </c>
      <c r="J110" s="6" t="s">
        <v>106</v>
      </c>
      <c r="K110" s="6" t="s">
        <v>107</v>
      </c>
      <c r="L110" s="6" t="s">
        <v>23</v>
      </c>
      <c r="M110" s="6">
        <v>4.5</v>
      </c>
      <c r="N110" s="6" t="s">
        <v>24</v>
      </c>
      <c r="O110" s="6">
        <v>1</v>
      </c>
    </row>
    <row r="111" spans="1:15" x14ac:dyDescent="0.25">
      <c r="A111" s="5">
        <v>10488</v>
      </c>
      <c r="B111" s="5" t="s">
        <v>112</v>
      </c>
      <c r="C111" s="5" t="s">
        <v>103</v>
      </c>
      <c r="D111" s="5" t="s">
        <v>104</v>
      </c>
      <c r="E111" s="6" t="s">
        <v>18</v>
      </c>
      <c r="F111" s="10">
        <v>25</v>
      </c>
      <c r="G111" s="10">
        <v>1</v>
      </c>
      <c r="H111" s="8" t="s">
        <v>27</v>
      </c>
      <c r="I111" s="8" t="s">
        <v>20</v>
      </c>
      <c r="J111" s="8" t="s">
        <v>28</v>
      </c>
      <c r="K111" s="6" t="s">
        <v>29</v>
      </c>
      <c r="L111" s="6" t="s">
        <v>23</v>
      </c>
      <c r="M111" s="6">
        <v>585</v>
      </c>
      <c r="N111" s="6" t="s">
        <v>24</v>
      </c>
      <c r="O111" s="6">
        <v>1</v>
      </c>
    </row>
    <row r="112" spans="1:15" x14ac:dyDescent="0.25">
      <c r="A112" s="5">
        <v>10489</v>
      </c>
      <c r="B112" s="5" t="s">
        <v>113</v>
      </c>
      <c r="C112" s="5" t="s">
        <v>103</v>
      </c>
      <c r="D112" s="5" t="s">
        <v>104</v>
      </c>
      <c r="E112" s="6" t="s">
        <v>18</v>
      </c>
      <c r="F112" s="10">
        <v>30</v>
      </c>
      <c r="G112" s="10">
        <v>1</v>
      </c>
      <c r="H112" s="8" t="s">
        <v>19</v>
      </c>
      <c r="I112" s="6" t="s">
        <v>30</v>
      </c>
      <c r="J112" s="6" t="s">
        <v>31</v>
      </c>
      <c r="K112" s="6" t="s">
        <v>32</v>
      </c>
      <c r="L112" s="6" t="s">
        <v>23</v>
      </c>
      <c r="M112" s="6">
        <v>5</v>
      </c>
      <c r="N112" s="6" t="s">
        <v>24</v>
      </c>
      <c r="O112" s="6">
        <v>1</v>
      </c>
    </row>
    <row r="113" spans="1:15" x14ac:dyDescent="0.25">
      <c r="A113" s="5">
        <v>10489</v>
      </c>
      <c r="B113" s="5" t="s">
        <v>113</v>
      </c>
      <c r="C113" s="5" t="s">
        <v>103</v>
      </c>
      <c r="D113" s="5" t="s">
        <v>104</v>
      </c>
      <c r="E113" s="6" t="s">
        <v>18</v>
      </c>
      <c r="F113" s="10">
        <v>30</v>
      </c>
      <c r="G113" s="10">
        <v>1</v>
      </c>
      <c r="H113" s="6" t="s">
        <v>105</v>
      </c>
      <c r="I113" s="6" t="s">
        <v>30</v>
      </c>
      <c r="J113" s="6" t="s">
        <v>106</v>
      </c>
      <c r="K113" s="6" t="s">
        <v>107</v>
      </c>
      <c r="L113" s="6" t="s">
        <v>23</v>
      </c>
      <c r="M113" s="6">
        <v>2</v>
      </c>
      <c r="N113" s="6" t="s">
        <v>24</v>
      </c>
      <c r="O113" s="6">
        <v>1</v>
      </c>
    </row>
    <row r="114" spans="1:15" x14ac:dyDescent="0.25">
      <c r="A114" s="5">
        <v>10489</v>
      </c>
      <c r="B114" s="5" t="s">
        <v>113</v>
      </c>
      <c r="C114" s="5" t="s">
        <v>103</v>
      </c>
      <c r="D114" s="5" t="s">
        <v>104</v>
      </c>
      <c r="E114" s="6" t="s">
        <v>18</v>
      </c>
      <c r="F114" s="10">
        <v>30</v>
      </c>
      <c r="G114" s="10">
        <v>1</v>
      </c>
      <c r="H114" s="8" t="s">
        <v>27</v>
      </c>
      <c r="I114" s="8" t="s">
        <v>20</v>
      </c>
      <c r="J114" s="8" t="s">
        <v>28</v>
      </c>
      <c r="K114" s="6" t="s">
        <v>29</v>
      </c>
      <c r="L114" s="6" t="s">
        <v>23</v>
      </c>
      <c r="M114" s="6">
        <v>680</v>
      </c>
      <c r="N114" s="6" t="s">
        <v>24</v>
      </c>
      <c r="O114" s="6">
        <v>1</v>
      </c>
    </row>
    <row r="115" spans="1:15" x14ac:dyDescent="0.25">
      <c r="A115" s="5">
        <v>10519</v>
      </c>
      <c r="B115" s="5" t="s">
        <v>114</v>
      </c>
      <c r="C115" s="5" t="s">
        <v>103</v>
      </c>
      <c r="D115" s="5" t="s">
        <v>104</v>
      </c>
      <c r="E115" s="6" t="s">
        <v>18</v>
      </c>
      <c r="F115" s="10">
        <v>10</v>
      </c>
      <c r="G115" s="10">
        <v>1</v>
      </c>
      <c r="H115" s="8" t="s">
        <v>19</v>
      </c>
      <c r="I115" s="6" t="s">
        <v>30</v>
      </c>
      <c r="J115" s="6" t="s">
        <v>31</v>
      </c>
      <c r="K115" s="6" t="s">
        <v>32</v>
      </c>
      <c r="L115" s="6" t="s">
        <v>23</v>
      </c>
      <c r="M115" s="6">
        <v>8</v>
      </c>
      <c r="N115" s="6" t="s">
        <v>24</v>
      </c>
      <c r="O115" s="6">
        <v>1</v>
      </c>
    </row>
    <row r="116" spans="1:15" x14ac:dyDescent="0.25">
      <c r="A116" s="5">
        <v>10519</v>
      </c>
      <c r="B116" s="5" t="s">
        <v>114</v>
      </c>
      <c r="C116" s="5" t="s">
        <v>103</v>
      </c>
      <c r="D116" s="5" t="s">
        <v>104</v>
      </c>
      <c r="E116" s="6" t="s">
        <v>18</v>
      </c>
      <c r="F116" s="10">
        <v>10</v>
      </c>
      <c r="G116" s="10">
        <v>1</v>
      </c>
      <c r="H116" s="6" t="s">
        <v>105</v>
      </c>
      <c r="I116" s="6" t="s">
        <v>30</v>
      </c>
      <c r="J116" s="6" t="s">
        <v>106</v>
      </c>
      <c r="K116" s="6" t="s">
        <v>109</v>
      </c>
      <c r="L116" s="6" t="s">
        <v>23</v>
      </c>
      <c r="M116" s="6">
        <v>2.2999999999999998</v>
      </c>
      <c r="N116" s="6" t="s">
        <v>24</v>
      </c>
      <c r="O116" s="6">
        <v>1</v>
      </c>
    </row>
    <row r="117" spans="1:15" x14ac:dyDescent="0.25">
      <c r="A117" s="5">
        <v>10519</v>
      </c>
      <c r="B117" s="5" t="s">
        <v>114</v>
      </c>
      <c r="C117" s="5" t="s">
        <v>103</v>
      </c>
      <c r="D117" s="5" t="s">
        <v>104</v>
      </c>
      <c r="E117" s="6" t="s">
        <v>18</v>
      </c>
      <c r="F117" s="10">
        <v>10</v>
      </c>
      <c r="G117" s="10">
        <v>1</v>
      </c>
      <c r="H117" s="8" t="s">
        <v>27</v>
      </c>
      <c r="I117" s="8" t="s">
        <v>20</v>
      </c>
      <c r="J117" s="8" t="s">
        <v>28</v>
      </c>
      <c r="K117" s="6" t="s">
        <v>29</v>
      </c>
      <c r="L117" s="6" t="s">
        <v>23</v>
      </c>
      <c r="M117" s="6">
        <v>330</v>
      </c>
      <c r="N117" s="6" t="s">
        <v>24</v>
      </c>
      <c r="O117" s="6">
        <v>1</v>
      </c>
    </row>
    <row r="118" spans="1:15" x14ac:dyDescent="0.25">
      <c r="A118" s="5">
        <v>10520</v>
      </c>
      <c r="B118" s="5" t="s">
        <v>115</v>
      </c>
      <c r="C118" s="5" t="s">
        <v>103</v>
      </c>
      <c r="D118" s="5" t="s">
        <v>104</v>
      </c>
      <c r="E118" s="6" t="s">
        <v>18</v>
      </c>
      <c r="F118" s="10">
        <v>10</v>
      </c>
      <c r="G118" s="10">
        <v>1</v>
      </c>
      <c r="H118" s="8" t="s">
        <v>19</v>
      </c>
      <c r="I118" s="6" t="s">
        <v>30</v>
      </c>
      <c r="J118" s="6" t="s">
        <v>31</v>
      </c>
      <c r="K118" s="6" t="s">
        <v>32</v>
      </c>
      <c r="L118" s="6" t="s">
        <v>23</v>
      </c>
      <c r="M118" s="6">
        <v>8</v>
      </c>
      <c r="N118" s="6" t="s">
        <v>24</v>
      </c>
      <c r="O118" s="6">
        <v>1</v>
      </c>
    </row>
    <row r="119" spans="1:15" x14ac:dyDescent="0.25">
      <c r="A119" s="5">
        <v>10520</v>
      </c>
      <c r="B119" s="5" t="s">
        <v>115</v>
      </c>
      <c r="C119" s="5" t="s">
        <v>103</v>
      </c>
      <c r="D119" s="5" t="s">
        <v>104</v>
      </c>
      <c r="E119" s="6" t="s">
        <v>18</v>
      </c>
      <c r="F119" s="10">
        <v>10</v>
      </c>
      <c r="G119" s="10">
        <v>1</v>
      </c>
      <c r="H119" s="6" t="s">
        <v>105</v>
      </c>
      <c r="I119" s="6" t="s">
        <v>30</v>
      </c>
      <c r="J119" s="6" t="s">
        <v>106</v>
      </c>
      <c r="K119" s="6" t="s">
        <v>109</v>
      </c>
      <c r="L119" s="6" t="s">
        <v>23</v>
      </c>
      <c r="M119" s="6">
        <v>2.9</v>
      </c>
      <c r="N119" s="6" t="s">
        <v>24</v>
      </c>
      <c r="O119" s="6">
        <v>1</v>
      </c>
    </row>
    <row r="120" spans="1:15" x14ac:dyDescent="0.25">
      <c r="A120" s="5">
        <v>10520</v>
      </c>
      <c r="B120" s="5" t="s">
        <v>115</v>
      </c>
      <c r="C120" s="5" t="s">
        <v>103</v>
      </c>
      <c r="D120" s="5" t="s">
        <v>104</v>
      </c>
      <c r="E120" s="6" t="s">
        <v>18</v>
      </c>
      <c r="F120" s="10">
        <v>10</v>
      </c>
      <c r="G120" s="10">
        <v>1</v>
      </c>
      <c r="H120" s="8" t="s">
        <v>27</v>
      </c>
      <c r="I120" s="8" t="s">
        <v>20</v>
      </c>
      <c r="J120" s="8" t="s">
        <v>28</v>
      </c>
      <c r="K120" s="6" t="s">
        <v>29</v>
      </c>
      <c r="L120" s="6" t="s">
        <v>23</v>
      </c>
      <c r="M120" s="6">
        <v>375</v>
      </c>
      <c r="N120" s="6" t="s">
        <v>24</v>
      </c>
      <c r="O120" s="6">
        <v>1</v>
      </c>
    </row>
    <row r="121" spans="1:15" x14ac:dyDescent="0.25">
      <c r="A121" s="5">
        <v>10546</v>
      </c>
      <c r="B121" s="5" t="s">
        <v>142</v>
      </c>
      <c r="C121" s="5" t="s">
        <v>143</v>
      </c>
      <c r="D121" s="5" t="s">
        <v>104</v>
      </c>
      <c r="E121" s="6" t="s">
        <v>18</v>
      </c>
      <c r="F121" s="10">
        <v>20</v>
      </c>
      <c r="G121" s="10">
        <v>75</v>
      </c>
      <c r="H121" s="6" t="s">
        <v>38</v>
      </c>
      <c r="I121" s="6" t="s">
        <v>30</v>
      </c>
      <c r="J121" s="6" t="s">
        <v>31</v>
      </c>
      <c r="K121" s="6" t="s">
        <v>43</v>
      </c>
      <c r="L121" s="6" t="s">
        <v>23</v>
      </c>
      <c r="M121" s="6">
        <v>200</v>
      </c>
      <c r="N121" s="6" t="s">
        <v>24</v>
      </c>
      <c r="O121" s="6">
        <v>1</v>
      </c>
    </row>
    <row r="122" spans="1:15" x14ac:dyDescent="0.25">
      <c r="A122" s="5">
        <v>10546</v>
      </c>
      <c r="B122" s="5" t="s">
        <v>142</v>
      </c>
      <c r="C122" s="5" t="s">
        <v>143</v>
      </c>
      <c r="D122" s="5" t="s">
        <v>104</v>
      </c>
      <c r="E122" s="6" t="s">
        <v>18</v>
      </c>
      <c r="F122" s="10">
        <v>20</v>
      </c>
      <c r="G122" s="10">
        <v>75</v>
      </c>
      <c r="H122" s="6" t="s">
        <v>38</v>
      </c>
      <c r="I122" s="6" t="s">
        <v>121</v>
      </c>
      <c r="J122" s="6" t="s">
        <v>121</v>
      </c>
      <c r="K122" s="6" t="s">
        <v>122</v>
      </c>
      <c r="L122" s="6" t="s">
        <v>23</v>
      </c>
      <c r="M122" s="6">
        <v>16000</v>
      </c>
      <c r="N122" s="6" t="s">
        <v>24</v>
      </c>
      <c r="O122" s="6">
        <v>1</v>
      </c>
    </row>
    <row r="123" spans="1:15" x14ac:dyDescent="0.25">
      <c r="A123" s="5">
        <v>10547</v>
      </c>
      <c r="B123" s="5" t="s">
        <v>144</v>
      </c>
      <c r="C123" s="5" t="s">
        <v>143</v>
      </c>
      <c r="D123" s="5" t="s">
        <v>104</v>
      </c>
      <c r="E123" s="6" t="s">
        <v>18</v>
      </c>
      <c r="F123" s="10">
        <v>10</v>
      </c>
      <c r="G123" s="10">
        <v>48</v>
      </c>
      <c r="H123" s="6" t="s">
        <v>38</v>
      </c>
      <c r="I123" s="6" t="s">
        <v>30</v>
      </c>
      <c r="J123" s="6" t="s">
        <v>31</v>
      </c>
      <c r="K123" s="6" t="s">
        <v>43</v>
      </c>
      <c r="L123" s="6" t="s">
        <v>23</v>
      </c>
      <c r="M123" s="6">
        <v>200</v>
      </c>
      <c r="N123" s="6" t="s">
        <v>24</v>
      </c>
      <c r="O123" s="6">
        <v>1</v>
      </c>
    </row>
    <row r="124" spans="1:15" x14ac:dyDescent="0.25">
      <c r="A124" s="5">
        <v>10547</v>
      </c>
      <c r="B124" s="5" t="s">
        <v>144</v>
      </c>
      <c r="C124" s="5" t="s">
        <v>143</v>
      </c>
      <c r="D124" s="5" t="s">
        <v>104</v>
      </c>
      <c r="E124" s="6" t="s">
        <v>18</v>
      </c>
      <c r="F124" s="10">
        <v>10</v>
      </c>
      <c r="G124" s="10">
        <v>48</v>
      </c>
      <c r="H124" s="6" t="s">
        <v>38</v>
      </c>
      <c r="I124" s="6" t="s">
        <v>121</v>
      </c>
      <c r="J124" s="6" t="s">
        <v>121</v>
      </c>
      <c r="K124" s="6" t="s">
        <v>122</v>
      </c>
      <c r="L124" s="6" t="s">
        <v>23</v>
      </c>
      <c r="M124" s="6">
        <v>16000</v>
      </c>
      <c r="N124" s="6" t="s">
        <v>24</v>
      </c>
      <c r="O124" s="6">
        <v>1</v>
      </c>
    </row>
    <row r="125" spans="1:15" x14ac:dyDescent="0.25">
      <c r="A125" s="5">
        <v>10555</v>
      </c>
      <c r="B125" s="5" t="s">
        <v>139</v>
      </c>
      <c r="C125" s="5" t="s">
        <v>140</v>
      </c>
      <c r="D125" s="5" t="s">
        <v>37</v>
      </c>
      <c r="E125" s="6" t="s">
        <v>18</v>
      </c>
      <c r="F125" s="10">
        <v>1</v>
      </c>
      <c r="G125" s="10">
        <v>1</v>
      </c>
      <c r="H125" s="8" t="s">
        <v>19</v>
      </c>
      <c r="I125" s="8" t="s">
        <v>20</v>
      </c>
      <c r="J125" s="6" t="s">
        <v>21</v>
      </c>
      <c r="K125" s="6" t="s">
        <v>22</v>
      </c>
      <c r="L125" s="6" t="s">
        <v>23</v>
      </c>
      <c r="M125" s="6">
        <v>3</v>
      </c>
      <c r="N125" s="6" t="s">
        <v>24</v>
      </c>
      <c r="O125" s="6">
        <v>1</v>
      </c>
    </row>
    <row r="126" spans="1:15" x14ac:dyDescent="0.25">
      <c r="A126" s="5">
        <v>10555</v>
      </c>
      <c r="B126" s="5" t="s">
        <v>139</v>
      </c>
      <c r="C126" s="5" t="s">
        <v>140</v>
      </c>
      <c r="D126" s="5" t="s">
        <v>37</v>
      </c>
      <c r="E126" s="6" t="s">
        <v>18</v>
      </c>
      <c r="F126" s="10">
        <v>1</v>
      </c>
      <c r="G126" s="10">
        <v>1</v>
      </c>
      <c r="H126" s="8" t="s">
        <v>19</v>
      </c>
      <c r="I126" s="6" t="s">
        <v>30</v>
      </c>
      <c r="J126" s="6" t="s">
        <v>106</v>
      </c>
      <c r="K126" s="6"/>
      <c r="L126" s="6" t="s">
        <v>23</v>
      </c>
      <c r="M126" s="6">
        <v>44</v>
      </c>
      <c r="N126" s="6" t="s">
        <v>24</v>
      </c>
      <c r="O126" s="6">
        <v>1</v>
      </c>
    </row>
    <row r="127" spans="1:15" x14ac:dyDescent="0.25">
      <c r="A127" s="5">
        <v>10555</v>
      </c>
      <c r="B127" s="5" t="s">
        <v>139</v>
      </c>
      <c r="C127" s="5" t="s">
        <v>140</v>
      </c>
      <c r="D127" s="5" t="s">
        <v>37</v>
      </c>
      <c r="E127" s="6" t="s">
        <v>18</v>
      </c>
      <c r="F127" s="10">
        <v>1</v>
      </c>
      <c r="G127" s="10">
        <v>1</v>
      </c>
      <c r="H127" s="8" t="s">
        <v>19</v>
      </c>
      <c r="I127" s="6" t="s">
        <v>30</v>
      </c>
      <c r="J127" s="6" t="s">
        <v>138</v>
      </c>
      <c r="K127" s="6" t="s">
        <v>141</v>
      </c>
      <c r="L127" s="6" t="s">
        <v>23</v>
      </c>
      <c r="M127" s="6">
        <v>204</v>
      </c>
      <c r="N127" s="6" t="s">
        <v>24</v>
      </c>
      <c r="O127" s="6">
        <v>1</v>
      </c>
    </row>
    <row r="129" spans="1:3" x14ac:dyDescent="0.25">
      <c r="A129">
        <f>COUNT(A2:A127)</f>
        <v>126</v>
      </c>
      <c r="B129" s="5" t="s">
        <v>167</v>
      </c>
    </row>
    <row r="130" spans="1:3" x14ac:dyDescent="0.25">
      <c r="A130">
        <f>COUNT(_xlfn.ANCHORARRAY(C130))</f>
        <v>46</v>
      </c>
      <c r="B130" s="5" t="s">
        <v>168</v>
      </c>
      <c r="C130" cm="1">
        <f t="array" ref="C130:C175">_xlfn.UNIQUE(A2:A127)</f>
        <v>2075</v>
      </c>
    </row>
    <row r="131" spans="1:3" x14ac:dyDescent="0.25">
      <c r="C131">
        <v>2255</v>
      </c>
    </row>
    <row r="132" spans="1:3" x14ac:dyDescent="0.25">
      <c r="C132">
        <v>2260</v>
      </c>
    </row>
    <row r="133" spans="1:3" x14ac:dyDescent="0.25">
      <c r="C133">
        <v>2305</v>
      </c>
    </row>
    <row r="134" spans="1:3" x14ac:dyDescent="0.25">
      <c r="C134">
        <v>2310</v>
      </c>
    </row>
    <row r="135" spans="1:3" x14ac:dyDescent="0.25">
      <c r="C135">
        <v>2385</v>
      </c>
    </row>
    <row r="136" spans="1:3" x14ac:dyDescent="0.25">
      <c r="C136">
        <v>2395</v>
      </c>
    </row>
    <row r="137" spans="1:3" x14ac:dyDescent="0.25">
      <c r="C137">
        <v>2400</v>
      </c>
    </row>
    <row r="138" spans="1:3" x14ac:dyDescent="0.25">
      <c r="C138">
        <v>2410</v>
      </c>
    </row>
    <row r="139" spans="1:3" x14ac:dyDescent="0.25">
      <c r="C139">
        <v>2415</v>
      </c>
    </row>
    <row r="140" spans="1:3" x14ac:dyDescent="0.25">
      <c r="C140">
        <v>2420</v>
      </c>
    </row>
    <row r="141" spans="1:3" x14ac:dyDescent="0.25">
      <c r="C141">
        <v>2460</v>
      </c>
    </row>
    <row r="142" spans="1:3" x14ac:dyDescent="0.25">
      <c r="C142">
        <v>2465</v>
      </c>
    </row>
    <row r="143" spans="1:3" x14ac:dyDescent="0.25">
      <c r="C143">
        <v>2470</v>
      </c>
    </row>
    <row r="144" spans="1:3" x14ac:dyDescent="0.25">
      <c r="C144">
        <v>2475</v>
      </c>
    </row>
    <row r="145" spans="3:3" x14ac:dyDescent="0.25">
      <c r="C145">
        <v>2480</v>
      </c>
    </row>
    <row r="146" spans="3:3" x14ac:dyDescent="0.25">
      <c r="C146">
        <v>2485</v>
      </c>
    </row>
    <row r="147" spans="3:3" x14ac:dyDescent="0.25">
      <c r="C147">
        <v>2515</v>
      </c>
    </row>
    <row r="148" spans="3:3" x14ac:dyDescent="0.25">
      <c r="C148">
        <v>2520</v>
      </c>
    </row>
    <row r="149" spans="3:3" x14ac:dyDescent="0.25">
      <c r="C149">
        <v>2525</v>
      </c>
    </row>
    <row r="150" spans="3:3" x14ac:dyDescent="0.25">
      <c r="C150">
        <v>2530</v>
      </c>
    </row>
    <row r="151" spans="3:3" x14ac:dyDescent="0.25">
      <c r="C151">
        <v>2535</v>
      </c>
    </row>
    <row r="152" spans="3:3" x14ac:dyDescent="0.25">
      <c r="C152">
        <v>5930</v>
      </c>
    </row>
    <row r="153" spans="3:3" x14ac:dyDescent="0.25">
      <c r="C153">
        <v>5955</v>
      </c>
    </row>
    <row r="154" spans="3:3" x14ac:dyDescent="0.25">
      <c r="C154">
        <v>10096</v>
      </c>
    </row>
    <row r="155" spans="3:3" x14ac:dyDescent="0.25">
      <c r="C155">
        <v>10105</v>
      </c>
    </row>
    <row r="156" spans="3:3" x14ac:dyDescent="0.25">
      <c r="C156">
        <v>10118</v>
      </c>
    </row>
    <row r="157" spans="3:3" x14ac:dyDescent="0.25">
      <c r="C157">
        <v>10148</v>
      </c>
    </row>
    <row r="158" spans="3:3" x14ac:dyDescent="0.25">
      <c r="C158">
        <v>10177</v>
      </c>
    </row>
    <row r="159" spans="3:3" x14ac:dyDescent="0.25">
      <c r="C159">
        <v>10376</v>
      </c>
    </row>
    <row r="160" spans="3:3" x14ac:dyDescent="0.25">
      <c r="C160">
        <v>10377</v>
      </c>
    </row>
    <row r="161" spans="3:3" x14ac:dyDescent="0.25">
      <c r="C161">
        <v>10378</v>
      </c>
    </row>
    <row r="162" spans="3:3" x14ac:dyDescent="0.25">
      <c r="C162">
        <v>10379</v>
      </c>
    </row>
    <row r="163" spans="3:3" x14ac:dyDescent="0.25">
      <c r="C163">
        <v>10385</v>
      </c>
    </row>
    <row r="164" spans="3:3" x14ac:dyDescent="0.25">
      <c r="C164">
        <v>10407</v>
      </c>
    </row>
    <row r="165" spans="3:3" x14ac:dyDescent="0.25">
      <c r="C165">
        <v>10418</v>
      </c>
    </row>
    <row r="166" spans="3:3" x14ac:dyDescent="0.25">
      <c r="C166">
        <v>10427</v>
      </c>
    </row>
    <row r="167" spans="3:3" x14ac:dyDescent="0.25">
      <c r="C167">
        <v>10428</v>
      </c>
    </row>
    <row r="168" spans="3:3" x14ac:dyDescent="0.25">
      <c r="C168">
        <v>10487</v>
      </c>
    </row>
    <row r="169" spans="3:3" x14ac:dyDescent="0.25">
      <c r="C169">
        <v>10488</v>
      </c>
    </row>
    <row r="170" spans="3:3" x14ac:dyDescent="0.25">
      <c r="C170">
        <v>10489</v>
      </c>
    </row>
    <row r="171" spans="3:3" x14ac:dyDescent="0.25">
      <c r="C171">
        <v>10519</v>
      </c>
    </row>
    <row r="172" spans="3:3" x14ac:dyDescent="0.25">
      <c r="C172">
        <v>10520</v>
      </c>
    </row>
    <row r="173" spans="3:3" x14ac:dyDescent="0.25">
      <c r="C173">
        <v>10546</v>
      </c>
    </row>
    <row r="174" spans="3:3" x14ac:dyDescent="0.25">
      <c r="C174">
        <v>10547</v>
      </c>
    </row>
    <row r="175" spans="3:3" x14ac:dyDescent="0.25">
      <c r="C175">
        <v>10555</v>
      </c>
    </row>
  </sheetData>
  <autoFilter ref="A1:O127" xr:uid="{F42C9342-FE40-40FB-8C8B-9D8F8B797216}">
    <sortState xmlns:xlrd2="http://schemas.microsoft.com/office/spreadsheetml/2017/richdata2" ref="A2:O127">
      <sortCondition ref="A1:A127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D05A-BC7D-4B88-8CCC-D497DEF22481}">
  <dimension ref="A1:T75"/>
  <sheetViews>
    <sheetView zoomScale="190" zoomScaleNormal="190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11.5703125" bestFit="1" customWidth="1"/>
    <col min="2" max="2" width="20.7109375" customWidth="1"/>
    <col min="3" max="3" width="10.7109375" bestFit="1" customWidth="1"/>
    <col min="4" max="4" width="12.5703125" bestFit="1" customWidth="1"/>
    <col min="5" max="5" width="9.42578125" bestFit="1" customWidth="1"/>
    <col min="6" max="6" width="16.7109375" customWidth="1"/>
    <col min="7" max="7" width="14.28515625" customWidth="1"/>
    <col min="8" max="8" width="28.5703125" customWidth="1"/>
    <col min="9" max="9" width="13" customWidth="1"/>
    <col min="10" max="10" width="9.7109375" bestFit="1" customWidth="1"/>
    <col min="11" max="11" width="6.7109375" bestFit="1" customWidth="1"/>
    <col min="12" max="12" width="7.85546875" bestFit="1" customWidth="1"/>
    <col min="13" max="13" width="9.5703125" bestFit="1" customWidth="1"/>
    <col min="14" max="14" width="7.7109375" bestFit="1" customWidth="1"/>
    <col min="15" max="15" width="8.5703125" bestFit="1" customWidth="1"/>
    <col min="16" max="16" width="15.7109375" customWidth="1"/>
    <col min="17" max="17" width="10.7109375" bestFit="1" customWidth="1"/>
    <col min="18" max="18" width="9.7109375" bestFit="1" customWidth="1"/>
    <col min="19" max="19" width="6.7109375" bestFit="1" customWidth="1"/>
    <col min="20" max="20" width="10.140625" bestFit="1" customWidth="1"/>
  </cols>
  <sheetData>
    <row r="1" spans="1:20" ht="75" x14ac:dyDescent="0.25">
      <c r="A1" s="114" t="s">
        <v>0</v>
      </c>
      <c r="B1" s="115" t="s">
        <v>1</v>
      </c>
      <c r="C1" s="114" t="s">
        <v>2</v>
      </c>
      <c r="D1" s="116" t="s">
        <v>3</v>
      </c>
      <c r="E1" s="116" t="s">
        <v>4</v>
      </c>
      <c r="F1" s="116" t="s">
        <v>7</v>
      </c>
      <c r="G1" s="116" t="s">
        <v>8</v>
      </c>
      <c r="H1" s="116" t="s">
        <v>9</v>
      </c>
      <c r="I1" s="116" t="s">
        <v>10</v>
      </c>
      <c r="J1" s="116" t="s">
        <v>11</v>
      </c>
      <c r="K1" s="116" t="s">
        <v>533</v>
      </c>
      <c r="L1" s="116" t="s">
        <v>13</v>
      </c>
      <c r="M1" s="116" t="s">
        <v>14</v>
      </c>
      <c r="N1" s="116" t="s">
        <v>5</v>
      </c>
      <c r="O1" s="116" t="s">
        <v>6</v>
      </c>
      <c r="P1" s="106" t="s">
        <v>537</v>
      </c>
      <c r="Q1" s="106" t="s">
        <v>539</v>
      </c>
      <c r="R1" s="106" t="s">
        <v>535</v>
      </c>
      <c r="S1" s="106" t="s">
        <v>538</v>
      </c>
      <c r="T1" s="106" t="s">
        <v>534</v>
      </c>
    </row>
    <row r="2" spans="1:20" x14ac:dyDescent="0.25">
      <c r="A2" s="115">
        <v>2515</v>
      </c>
      <c r="B2" s="115" t="s">
        <v>152</v>
      </c>
      <c r="C2" s="115" t="s">
        <v>153</v>
      </c>
      <c r="D2" s="115" t="s">
        <v>37</v>
      </c>
      <c r="E2" s="115" t="s">
        <v>18</v>
      </c>
      <c r="F2" s="115" t="s">
        <v>19</v>
      </c>
      <c r="G2" s="115" t="s">
        <v>20</v>
      </c>
      <c r="H2" s="115" t="s">
        <v>21</v>
      </c>
      <c r="I2" s="115" t="s">
        <v>43</v>
      </c>
      <c r="J2" s="115" t="s">
        <v>23</v>
      </c>
      <c r="K2" s="115">
        <v>63</v>
      </c>
      <c r="L2" s="117" t="s">
        <v>24</v>
      </c>
      <c r="M2" s="117">
        <v>1</v>
      </c>
      <c r="N2" s="118">
        <v>1</v>
      </c>
      <c r="O2" s="119">
        <v>200</v>
      </c>
      <c r="P2" s="109">
        <f>K2*O2</f>
        <v>12600</v>
      </c>
      <c r="Q2" s="109">
        <f>P2/1000</f>
        <v>12.6</v>
      </c>
      <c r="R2" s="109">
        <v>25</v>
      </c>
      <c r="S2" s="109"/>
      <c r="T2" s="110">
        <v>10146</v>
      </c>
    </row>
    <row r="3" spans="1:20" x14ac:dyDescent="0.25">
      <c r="A3" s="115">
        <v>2515</v>
      </c>
      <c r="B3" s="115" t="s">
        <v>152</v>
      </c>
      <c r="C3" s="115" t="s">
        <v>153</v>
      </c>
      <c r="D3" s="115" t="s">
        <v>37</v>
      </c>
      <c r="E3" s="115" t="s">
        <v>18</v>
      </c>
      <c r="F3" s="115" t="s">
        <v>27</v>
      </c>
      <c r="G3" s="115" t="s">
        <v>20</v>
      </c>
      <c r="H3" s="115" t="s">
        <v>28</v>
      </c>
      <c r="I3" s="115" t="s">
        <v>29</v>
      </c>
      <c r="J3" s="115" t="s">
        <v>23</v>
      </c>
      <c r="K3" s="115">
        <v>171.6</v>
      </c>
      <c r="L3" s="117" t="s">
        <v>24</v>
      </c>
      <c r="M3" s="117">
        <v>1</v>
      </c>
      <c r="N3" s="118">
        <v>1</v>
      </c>
      <c r="O3" s="119">
        <v>200</v>
      </c>
      <c r="P3" s="109">
        <f t="shared" ref="P3:P5" si="0">K3*O3</f>
        <v>34320</v>
      </c>
      <c r="Q3" s="109">
        <f t="shared" ref="Q3:Q5" si="1">P3/1000</f>
        <v>34.32</v>
      </c>
      <c r="R3" s="109">
        <v>0</v>
      </c>
      <c r="S3" s="109"/>
      <c r="T3" s="37">
        <f>T2/200</f>
        <v>50.73</v>
      </c>
    </row>
    <row r="4" spans="1:20" x14ac:dyDescent="0.25">
      <c r="A4" s="115">
        <v>2515</v>
      </c>
      <c r="B4" s="115" t="s">
        <v>152</v>
      </c>
      <c r="C4" s="115" t="s">
        <v>153</v>
      </c>
      <c r="D4" s="115" t="s">
        <v>37</v>
      </c>
      <c r="E4" s="115" t="s">
        <v>18</v>
      </c>
      <c r="F4" s="115" t="s">
        <v>27</v>
      </c>
      <c r="G4" s="115" t="s">
        <v>30</v>
      </c>
      <c r="H4" s="115" t="s">
        <v>31</v>
      </c>
      <c r="I4" s="115" t="s">
        <v>32</v>
      </c>
      <c r="J4" s="115" t="s">
        <v>23</v>
      </c>
      <c r="K4" s="115">
        <v>1.2</v>
      </c>
      <c r="L4" s="117" t="s">
        <v>24</v>
      </c>
      <c r="M4" s="117">
        <v>1</v>
      </c>
      <c r="N4" s="118">
        <v>1</v>
      </c>
      <c r="O4" s="119">
        <v>200</v>
      </c>
      <c r="P4" s="109">
        <f t="shared" si="0"/>
        <v>240</v>
      </c>
      <c r="Q4" s="109">
        <f t="shared" si="1"/>
        <v>0.24</v>
      </c>
      <c r="R4" s="109">
        <v>0</v>
      </c>
      <c r="S4" s="109"/>
      <c r="T4" s="37"/>
    </row>
    <row r="5" spans="1:20" x14ac:dyDescent="0.25">
      <c r="A5" s="115">
        <v>2515</v>
      </c>
      <c r="B5" s="115" t="s">
        <v>152</v>
      </c>
      <c r="C5" s="115" t="s">
        <v>153</v>
      </c>
      <c r="D5" s="115" t="s">
        <v>37</v>
      </c>
      <c r="E5" s="115" t="s">
        <v>18</v>
      </c>
      <c r="F5" s="115" t="s">
        <v>38</v>
      </c>
      <c r="G5" s="115" t="s">
        <v>30</v>
      </c>
      <c r="H5" s="115" t="s">
        <v>31</v>
      </c>
      <c r="I5" s="115" t="s">
        <v>32</v>
      </c>
      <c r="J5" s="115" t="s">
        <v>23</v>
      </c>
      <c r="K5" s="115">
        <v>200</v>
      </c>
      <c r="L5" s="117" t="s">
        <v>24</v>
      </c>
      <c r="M5" s="117">
        <v>1</v>
      </c>
      <c r="N5" s="118">
        <v>1</v>
      </c>
      <c r="O5" s="119">
        <v>200</v>
      </c>
      <c r="P5" s="109">
        <f t="shared" si="0"/>
        <v>40000</v>
      </c>
      <c r="Q5" s="109">
        <f t="shared" si="1"/>
        <v>40</v>
      </c>
      <c r="R5" s="109">
        <v>0</v>
      </c>
      <c r="S5" s="109"/>
      <c r="T5" s="37"/>
    </row>
    <row r="6" spans="1:20" ht="15.75" thickBot="1" x14ac:dyDescent="0.3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1" t="s">
        <v>522</v>
      </c>
      <c r="Q6" s="111">
        <f>SUM(Q2:Q5)</f>
        <v>87.16</v>
      </c>
      <c r="R6" s="111">
        <f ca="1">SUM(R2:R7)</f>
        <v>25</v>
      </c>
      <c r="S6" s="112">
        <v>112</v>
      </c>
      <c r="T6" s="113">
        <f>T3*S6</f>
        <v>5681.7599999999993</v>
      </c>
    </row>
    <row r="7" spans="1:20" ht="15.75" thickTop="1" x14ac:dyDescent="0.25">
      <c r="A7" s="115">
        <v>2515</v>
      </c>
      <c r="B7" s="115" t="s">
        <v>152</v>
      </c>
      <c r="C7" s="115" t="s">
        <v>153</v>
      </c>
      <c r="D7" s="115" t="s">
        <v>37</v>
      </c>
      <c r="E7" s="115" t="s">
        <v>18</v>
      </c>
      <c r="F7" s="115" t="s">
        <v>105</v>
      </c>
      <c r="G7" s="115"/>
      <c r="H7" s="115"/>
      <c r="I7" s="115"/>
      <c r="J7" s="115" t="s">
        <v>23</v>
      </c>
      <c r="K7" s="115">
        <v>5000</v>
      </c>
      <c r="L7" s="117" t="s">
        <v>24</v>
      </c>
      <c r="M7" s="117">
        <v>1</v>
      </c>
      <c r="N7" s="118">
        <v>1</v>
      </c>
      <c r="O7" s="119">
        <v>200</v>
      </c>
      <c r="P7" s="109">
        <f>K7*O7</f>
        <v>1000000</v>
      </c>
      <c r="Q7" s="109">
        <f>P7/1000</f>
        <v>1000</v>
      </c>
      <c r="R7" s="109">
        <v>0</v>
      </c>
      <c r="S7" s="109"/>
      <c r="T7" s="112">
        <f>T3*Q7</f>
        <v>50730</v>
      </c>
    </row>
    <row r="8" spans="1:20" x14ac:dyDescent="0.25">
      <c r="P8" s="10"/>
      <c r="Q8" s="10"/>
      <c r="R8" s="10" t="s">
        <v>541</v>
      </c>
      <c r="S8" s="10"/>
      <c r="T8" s="97">
        <f>T6/T7</f>
        <v>0.11199999999999999</v>
      </c>
    </row>
    <row r="9" spans="1:20" x14ac:dyDescent="0.25">
      <c r="A9" s="5"/>
      <c r="B9" s="5"/>
      <c r="C9" s="5"/>
      <c r="D9" s="5"/>
      <c r="E9" s="6"/>
      <c r="F9" s="6"/>
      <c r="G9" s="6"/>
      <c r="H9" s="6"/>
      <c r="I9" s="6"/>
      <c r="J9" s="6"/>
      <c r="K9" s="6"/>
      <c r="L9" s="6"/>
      <c r="M9" s="6"/>
      <c r="N9" s="10"/>
      <c r="O9" s="10"/>
      <c r="P9" s="10"/>
      <c r="Q9" s="10"/>
      <c r="R9" s="10" t="s">
        <v>540</v>
      </c>
      <c r="S9" s="10"/>
      <c r="T9" s="108">
        <f>T7/T6</f>
        <v>8.9285714285714288</v>
      </c>
    </row>
    <row r="10" spans="1:20" x14ac:dyDescent="0.25">
      <c r="A10" s="5"/>
      <c r="B10" s="5"/>
      <c r="C10" s="5"/>
      <c r="D10" s="5"/>
      <c r="E10" s="6"/>
      <c r="F10" s="8"/>
      <c r="G10" s="8"/>
      <c r="H10" s="8"/>
      <c r="I10" s="6"/>
      <c r="J10" s="6"/>
      <c r="K10" s="6"/>
      <c r="L10" s="6"/>
      <c r="M10" s="6"/>
      <c r="N10" s="10"/>
      <c r="O10" s="10"/>
      <c r="P10" s="10"/>
      <c r="Q10" s="10"/>
      <c r="R10" s="10"/>
      <c r="S10" s="10"/>
    </row>
    <row r="11" spans="1:20" x14ac:dyDescent="0.25">
      <c r="A11" s="5"/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10"/>
      <c r="O11" s="10"/>
      <c r="P11" s="10"/>
      <c r="Q11" s="10"/>
      <c r="R11" s="10"/>
      <c r="S11" s="10"/>
    </row>
    <row r="12" spans="1:20" x14ac:dyDescent="0.25">
      <c r="A12" s="5"/>
      <c r="B12" s="5"/>
      <c r="C12" s="5"/>
      <c r="D12" s="5"/>
      <c r="E12" s="6"/>
      <c r="F12" s="8"/>
      <c r="G12" s="8"/>
      <c r="H12" s="8"/>
      <c r="I12" s="6"/>
      <c r="J12" s="6"/>
      <c r="K12" s="6"/>
      <c r="L12" s="6"/>
      <c r="M12" s="6"/>
      <c r="N12" s="10"/>
      <c r="O12" s="10"/>
      <c r="P12" s="10"/>
      <c r="Q12" s="10"/>
      <c r="R12" s="10"/>
      <c r="S12" s="10"/>
    </row>
    <row r="13" spans="1:20" x14ac:dyDescent="0.2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10"/>
      <c r="O13" s="10"/>
      <c r="P13" s="10"/>
      <c r="Q13" s="10"/>
      <c r="R13" s="10"/>
      <c r="S13" s="10"/>
    </row>
    <row r="14" spans="1:20" x14ac:dyDescent="0.25">
      <c r="A14" s="5"/>
      <c r="B14" s="5"/>
      <c r="C14" s="5"/>
      <c r="D14" s="5"/>
      <c r="E14" s="6"/>
      <c r="F14" s="6"/>
      <c r="G14" s="6"/>
      <c r="H14" s="6"/>
      <c r="I14" s="6"/>
      <c r="J14" s="6"/>
      <c r="K14" s="7"/>
      <c r="L14" s="6"/>
      <c r="M14" s="6"/>
      <c r="N14" s="10"/>
      <c r="O14" s="10"/>
      <c r="P14" s="10"/>
      <c r="Q14" s="10"/>
      <c r="R14" s="10"/>
      <c r="S14" s="10"/>
    </row>
    <row r="15" spans="1:20" x14ac:dyDescent="0.25">
      <c r="A15" s="5"/>
      <c r="B15" s="5"/>
      <c r="C15" s="5"/>
      <c r="D15" s="5"/>
      <c r="E15" s="6"/>
      <c r="F15" s="6"/>
      <c r="G15" s="6"/>
      <c r="H15" s="6"/>
      <c r="I15" s="6"/>
      <c r="J15" s="6"/>
      <c r="K15" s="7"/>
      <c r="L15" s="6"/>
      <c r="M15" s="6"/>
      <c r="N15" s="10"/>
      <c r="O15" s="10"/>
      <c r="P15" s="10"/>
      <c r="Q15" s="10"/>
      <c r="R15" s="10"/>
      <c r="S15" s="10"/>
    </row>
    <row r="16" spans="1:20" x14ac:dyDescent="0.25">
      <c r="A16" s="5"/>
      <c r="B16" s="5"/>
      <c r="C16" s="5"/>
      <c r="D16" s="5"/>
      <c r="E16" s="6"/>
      <c r="F16" s="6"/>
      <c r="G16" s="6"/>
      <c r="H16" s="6"/>
      <c r="I16" s="6"/>
      <c r="J16" s="6"/>
      <c r="K16" s="7"/>
      <c r="L16" s="6"/>
      <c r="M16" s="6"/>
      <c r="N16" s="10"/>
      <c r="O16" s="10"/>
      <c r="P16" s="10"/>
      <c r="Q16" s="10"/>
      <c r="R16" s="10"/>
      <c r="S16" s="10"/>
    </row>
    <row r="17" spans="1:19" x14ac:dyDescent="0.25">
      <c r="A17" s="5"/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</row>
    <row r="18" spans="1:19" x14ac:dyDescent="0.25">
      <c r="A18" s="5"/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</row>
    <row r="19" spans="1:19" x14ac:dyDescent="0.25">
      <c r="A19" s="5"/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10"/>
      <c r="O19" s="10"/>
      <c r="P19" s="10"/>
      <c r="Q19" s="10"/>
      <c r="R19" s="10"/>
      <c r="S19" s="10"/>
    </row>
    <row r="20" spans="1:19" x14ac:dyDescent="0.25">
      <c r="A20" s="5"/>
      <c r="B20" s="5"/>
      <c r="C20" s="5"/>
      <c r="D20" s="5"/>
      <c r="E20" s="6"/>
      <c r="F20" s="8"/>
      <c r="G20" s="8"/>
      <c r="H20" s="8"/>
      <c r="I20" s="6"/>
      <c r="J20" s="6"/>
      <c r="K20" s="6"/>
      <c r="L20" s="6"/>
      <c r="M20" s="6"/>
      <c r="N20" s="10"/>
      <c r="O20" s="10"/>
      <c r="P20" s="10"/>
      <c r="Q20" s="10"/>
      <c r="R20" s="10"/>
      <c r="S20" s="10"/>
    </row>
    <row r="21" spans="1:19" x14ac:dyDescent="0.25">
      <c r="A21" s="5"/>
      <c r="B21" s="5"/>
      <c r="C21" s="5"/>
      <c r="D21" s="5"/>
      <c r="E21" s="6"/>
      <c r="F21" s="8"/>
      <c r="G21" s="8"/>
      <c r="H21" s="8"/>
      <c r="I21" s="6"/>
      <c r="J21" s="6"/>
      <c r="K21" s="6"/>
      <c r="L21" s="6"/>
      <c r="M21" s="6"/>
      <c r="N21" s="10"/>
      <c r="O21" s="10"/>
      <c r="P21" s="10"/>
      <c r="Q21" s="10"/>
      <c r="R21" s="10"/>
      <c r="S21" s="10"/>
    </row>
    <row r="22" spans="1:19" x14ac:dyDescent="0.25">
      <c r="A22" s="5"/>
      <c r="B22" s="5"/>
      <c r="C22" s="5"/>
      <c r="D22" s="5"/>
      <c r="E22" s="6"/>
      <c r="F22" s="8"/>
      <c r="G22" s="6"/>
      <c r="H22" s="6"/>
      <c r="I22" s="6"/>
      <c r="J22" s="6"/>
      <c r="K22" s="6"/>
      <c r="L22" s="6"/>
      <c r="M22" s="6"/>
      <c r="N22" s="10"/>
      <c r="O22" s="10"/>
      <c r="P22" s="10"/>
      <c r="Q22" s="10"/>
      <c r="R22" s="10"/>
      <c r="S22" s="10"/>
    </row>
    <row r="23" spans="1:19" x14ac:dyDescent="0.25">
      <c r="A23" s="5"/>
      <c r="B23" s="5"/>
      <c r="C23" s="5"/>
      <c r="D23" s="5"/>
      <c r="E23" s="6"/>
      <c r="F23" s="6"/>
      <c r="G23" s="6"/>
      <c r="H23" s="6"/>
      <c r="I23" s="6"/>
      <c r="J23" s="6"/>
      <c r="K23" s="7"/>
      <c r="L23" s="6"/>
      <c r="M23" s="6"/>
      <c r="N23" s="10"/>
      <c r="O23" s="10"/>
      <c r="P23" s="10"/>
      <c r="Q23" s="10"/>
      <c r="R23" s="10"/>
      <c r="S23" s="10"/>
    </row>
    <row r="24" spans="1:19" x14ac:dyDescent="0.25">
      <c r="A24" s="5"/>
      <c r="B24" s="5"/>
      <c r="C24" s="5"/>
      <c r="D24" s="5"/>
      <c r="E24" s="6"/>
      <c r="F24" s="6"/>
      <c r="G24" s="6"/>
      <c r="H24" s="6"/>
      <c r="I24" s="6"/>
      <c r="J24" s="6"/>
      <c r="K24" s="7"/>
      <c r="L24" s="6"/>
      <c r="M24" s="6"/>
      <c r="N24" s="10"/>
      <c r="O24" s="10"/>
      <c r="P24" s="10"/>
      <c r="Q24" s="10"/>
      <c r="R24" s="10"/>
      <c r="S24" s="10"/>
    </row>
    <row r="25" spans="1:19" x14ac:dyDescent="0.25">
      <c r="A25" s="5"/>
      <c r="B25" s="5"/>
      <c r="C25" s="5"/>
      <c r="D25" s="5"/>
      <c r="E25" s="6"/>
      <c r="F25" s="6"/>
      <c r="G25" s="6"/>
      <c r="H25" s="6"/>
      <c r="I25" s="6"/>
      <c r="J25" s="6"/>
      <c r="K25" s="7"/>
      <c r="L25" s="6"/>
      <c r="M25" s="6"/>
      <c r="N25" s="10"/>
      <c r="O25" s="10"/>
      <c r="P25" s="10"/>
      <c r="Q25" s="10"/>
      <c r="R25" s="10"/>
      <c r="S25" s="10"/>
    </row>
    <row r="26" spans="1:19" x14ac:dyDescent="0.25">
      <c r="A26" s="5"/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10"/>
      <c r="O26" s="10"/>
      <c r="P26" s="10"/>
      <c r="Q26" s="10"/>
      <c r="R26" s="10"/>
      <c r="S26" s="10"/>
    </row>
    <row r="27" spans="1:19" x14ac:dyDescent="0.25">
      <c r="A27" s="5"/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10"/>
      <c r="O27" s="10"/>
      <c r="P27" s="10"/>
      <c r="Q27" s="10"/>
      <c r="R27" s="10"/>
      <c r="S27" s="10"/>
    </row>
    <row r="28" spans="1:19" x14ac:dyDescent="0.25">
      <c r="A28" s="5"/>
      <c r="B28" s="5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10"/>
      <c r="O28" s="10"/>
      <c r="P28" s="10"/>
      <c r="Q28" s="10"/>
      <c r="R28" s="10"/>
      <c r="S28" s="10"/>
    </row>
    <row r="29" spans="1:19" x14ac:dyDescent="0.25">
      <c r="A29" s="5"/>
      <c r="B29" s="5"/>
      <c r="C29" s="5"/>
      <c r="D29" s="5"/>
      <c r="E29" s="6"/>
      <c r="F29" s="8"/>
      <c r="G29" s="8"/>
      <c r="H29" s="8"/>
      <c r="I29" s="6"/>
      <c r="J29" s="6"/>
      <c r="K29" s="6"/>
      <c r="L29" s="6"/>
      <c r="M29" s="6"/>
      <c r="N29" s="10"/>
      <c r="O29" s="10"/>
      <c r="P29" s="10"/>
      <c r="Q29" s="10"/>
      <c r="R29" s="10"/>
      <c r="S29" s="10"/>
    </row>
    <row r="30" spans="1:19" x14ac:dyDescent="0.25">
      <c r="A30" s="5"/>
      <c r="B30" s="5"/>
      <c r="C30" s="5"/>
      <c r="D30" s="5"/>
      <c r="E30" s="6"/>
      <c r="F30" s="8"/>
      <c r="G30" s="8"/>
      <c r="H30" s="8"/>
      <c r="I30" s="6"/>
      <c r="J30" s="6"/>
      <c r="K30" s="6"/>
      <c r="L30" s="6"/>
      <c r="M30" s="6"/>
      <c r="N30" s="10"/>
      <c r="O30" s="10"/>
      <c r="P30" s="10"/>
      <c r="Q30" s="10"/>
      <c r="R30" s="10"/>
      <c r="S30" s="10"/>
    </row>
    <row r="31" spans="1:19" x14ac:dyDescent="0.25">
      <c r="A31" s="5"/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</row>
    <row r="32" spans="1:19" x14ac:dyDescent="0.25">
      <c r="A32" s="5"/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10"/>
      <c r="O32" s="10"/>
      <c r="P32" s="10"/>
      <c r="Q32" s="10"/>
      <c r="R32" s="10"/>
      <c r="S32" s="10"/>
    </row>
    <row r="33" spans="1:19" x14ac:dyDescent="0.25">
      <c r="A33" s="5"/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10"/>
      <c r="O33" s="10"/>
      <c r="P33" s="10"/>
      <c r="Q33" s="10"/>
      <c r="R33" s="10"/>
      <c r="S33" s="10"/>
    </row>
    <row r="34" spans="1:19" x14ac:dyDescent="0.25">
      <c r="A34" s="5"/>
      <c r="B34" s="5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10"/>
      <c r="O34" s="10"/>
      <c r="P34" s="10"/>
      <c r="Q34" s="10"/>
      <c r="R34" s="10"/>
      <c r="S34" s="10"/>
    </row>
    <row r="35" spans="1:19" x14ac:dyDescent="0.25">
      <c r="A35" s="5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10"/>
      <c r="O35" s="10"/>
      <c r="P35" s="10"/>
      <c r="Q35" s="10"/>
      <c r="R35" s="10"/>
      <c r="S35" s="10"/>
    </row>
    <row r="36" spans="1:19" x14ac:dyDescent="0.25">
      <c r="A36" s="5"/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10"/>
      <c r="O36" s="10"/>
      <c r="P36" s="10"/>
      <c r="Q36" s="10"/>
      <c r="R36" s="10"/>
      <c r="S36" s="10"/>
    </row>
    <row r="37" spans="1:19" x14ac:dyDescent="0.25">
      <c r="A37" s="5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10"/>
      <c r="O37" s="10"/>
      <c r="P37" s="10"/>
      <c r="Q37" s="10"/>
      <c r="R37" s="10"/>
      <c r="S37" s="10"/>
    </row>
    <row r="38" spans="1:19" x14ac:dyDescent="0.25">
      <c r="A38" s="5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10"/>
      <c r="O38" s="10"/>
      <c r="P38" s="10"/>
      <c r="Q38" s="10"/>
      <c r="R38" s="10"/>
      <c r="S38" s="10"/>
    </row>
    <row r="39" spans="1:19" x14ac:dyDescent="0.25">
      <c r="A39" s="5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10"/>
      <c r="O39" s="10"/>
      <c r="P39" s="10"/>
      <c r="Q39" s="10"/>
      <c r="R39" s="10"/>
      <c r="S39" s="10"/>
    </row>
    <row r="40" spans="1:19" x14ac:dyDescent="0.25">
      <c r="A40" s="5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10"/>
      <c r="O40" s="10"/>
      <c r="P40" s="10"/>
      <c r="Q40" s="10"/>
      <c r="R40" s="10"/>
      <c r="S40" s="10"/>
    </row>
    <row r="41" spans="1:19" x14ac:dyDescent="0.25">
      <c r="A41" s="5"/>
      <c r="B41" s="5"/>
      <c r="C41" s="5"/>
      <c r="D41" s="5"/>
      <c r="E41" s="6"/>
      <c r="F41" s="8"/>
      <c r="G41" s="8"/>
      <c r="H41" s="8"/>
      <c r="I41" s="6"/>
      <c r="J41" s="6"/>
      <c r="K41" s="6"/>
      <c r="L41" s="6"/>
      <c r="M41" s="6"/>
      <c r="N41" s="10"/>
      <c r="O41" s="10"/>
      <c r="P41" s="10"/>
      <c r="Q41" s="10"/>
      <c r="R41" s="10"/>
      <c r="S41" s="10"/>
    </row>
    <row r="42" spans="1:19" x14ac:dyDescent="0.25">
      <c r="A42" s="5"/>
      <c r="B42" s="5"/>
      <c r="C42" s="5"/>
      <c r="D42" s="5"/>
      <c r="E42" s="6"/>
      <c r="F42" s="8"/>
      <c r="G42" s="6"/>
      <c r="H42" s="6"/>
      <c r="I42" s="6"/>
      <c r="J42" s="6"/>
      <c r="K42" s="6"/>
      <c r="L42" s="6"/>
      <c r="M42" s="6"/>
      <c r="N42" s="10"/>
      <c r="O42" s="10"/>
      <c r="P42" s="10"/>
      <c r="Q42" s="10"/>
      <c r="R42" s="10"/>
      <c r="S42" s="10"/>
    </row>
    <row r="43" spans="1:19" x14ac:dyDescent="0.25">
      <c r="A43" s="5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10"/>
      <c r="O43" s="10"/>
      <c r="P43" s="10"/>
      <c r="Q43" s="10"/>
      <c r="R43" s="10"/>
      <c r="S43" s="10"/>
    </row>
    <row r="44" spans="1:19" x14ac:dyDescent="0.25">
      <c r="A44" s="5"/>
      <c r="B44" s="5"/>
      <c r="C44" s="5"/>
      <c r="D44" s="5"/>
      <c r="E44" s="6"/>
      <c r="F44" s="8"/>
      <c r="G44" s="8"/>
      <c r="H44" s="8"/>
      <c r="I44" s="6"/>
      <c r="J44" s="6"/>
      <c r="K44" s="6"/>
      <c r="L44" s="6"/>
      <c r="M44" s="6"/>
      <c r="N44" s="10"/>
      <c r="O44" s="10"/>
      <c r="P44" s="10"/>
      <c r="Q44" s="10"/>
      <c r="R44" s="10"/>
      <c r="S44" s="10"/>
    </row>
    <row r="45" spans="1:19" x14ac:dyDescent="0.25">
      <c r="A45" s="5"/>
      <c r="B45" s="5"/>
      <c r="C45" s="5"/>
      <c r="D45" s="5"/>
      <c r="E45" s="6"/>
      <c r="F45" s="8"/>
      <c r="G45" s="6"/>
      <c r="H45" s="6"/>
      <c r="I45" s="6"/>
      <c r="J45" s="6"/>
      <c r="K45" s="6"/>
      <c r="L45" s="6"/>
      <c r="M45" s="6"/>
      <c r="N45" s="10"/>
      <c r="O45" s="10"/>
      <c r="P45" s="10"/>
      <c r="Q45" s="10"/>
      <c r="R45" s="10"/>
      <c r="S45" s="10"/>
    </row>
    <row r="46" spans="1:19" x14ac:dyDescent="0.25">
      <c r="A46" s="5"/>
      <c r="B46" s="5"/>
      <c r="C46" s="5"/>
      <c r="D46" s="5"/>
      <c r="E46" s="6"/>
      <c r="F46" s="6"/>
      <c r="G46" s="6"/>
      <c r="H46" s="6"/>
      <c r="I46" s="6"/>
      <c r="J46" s="6"/>
      <c r="K46" s="6"/>
      <c r="L46" s="6"/>
      <c r="M46" s="6"/>
      <c r="N46" s="10"/>
      <c r="O46" s="10"/>
      <c r="P46" s="10"/>
      <c r="Q46" s="10"/>
      <c r="R46" s="10"/>
      <c r="S46" s="10"/>
    </row>
    <row r="47" spans="1:19" x14ac:dyDescent="0.25">
      <c r="A47" s="5"/>
      <c r="B47" s="5"/>
      <c r="C47" s="5"/>
      <c r="D47" s="5"/>
      <c r="E47" s="6"/>
      <c r="F47" s="8"/>
      <c r="G47" s="8"/>
      <c r="H47" s="8"/>
      <c r="I47" s="6"/>
      <c r="J47" s="6"/>
      <c r="K47" s="6"/>
      <c r="L47" s="6"/>
      <c r="M47" s="6"/>
      <c r="N47" s="10"/>
      <c r="O47" s="10"/>
      <c r="P47" s="10"/>
      <c r="Q47" s="10"/>
      <c r="R47" s="10"/>
      <c r="S47" s="10"/>
    </row>
    <row r="48" spans="1:19" x14ac:dyDescent="0.25">
      <c r="A48" s="5"/>
      <c r="B48" s="5"/>
      <c r="C48" s="5"/>
      <c r="D48" s="5"/>
      <c r="E48" s="6"/>
      <c r="F48" s="8"/>
      <c r="G48" s="6"/>
      <c r="H48" s="6"/>
      <c r="I48" s="6"/>
      <c r="J48" s="6"/>
      <c r="K48" s="6"/>
      <c r="L48" s="6"/>
      <c r="M48" s="6"/>
      <c r="N48" s="10"/>
      <c r="O48" s="10"/>
      <c r="P48" s="10"/>
      <c r="Q48" s="10"/>
      <c r="R48" s="10"/>
      <c r="S48" s="10"/>
    </row>
    <row r="49" spans="1:19" x14ac:dyDescent="0.25">
      <c r="A49" s="5"/>
      <c r="B49" s="5"/>
      <c r="C49" s="5"/>
      <c r="D49" s="5"/>
      <c r="E49" s="6"/>
      <c r="F49" s="6"/>
      <c r="G49" s="6"/>
      <c r="H49" s="6"/>
      <c r="I49" s="6"/>
      <c r="J49" s="6"/>
      <c r="K49" s="6"/>
      <c r="L49" s="6"/>
      <c r="M49" s="6"/>
      <c r="N49" s="10"/>
      <c r="O49" s="10"/>
      <c r="P49" s="10"/>
      <c r="Q49" s="10"/>
      <c r="R49" s="10"/>
      <c r="S49" s="10"/>
    </row>
    <row r="50" spans="1:19" x14ac:dyDescent="0.25">
      <c r="A50" s="5"/>
      <c r="B50" s="5"/>
      <c r="C50" s="5"/>
      <c r="D50" s="5"/>
      <c r="E50" s="6"/>
      <c r="F50" s="8"/>
      <c r="G50" s="8"/>
      <c r="H50" s="8"/>
      <c r="I50" s="6"/>
      <c r="J50" s="6"/>
      <c r="K50" s="6"/>
      <c r="L50" s="6"/>
      <c r="M50" s="6"/>
      <c r="N50" s="10"/>
      <c r="O50" s="10"/>
      <c r="P50" s="10"/>
      <c r="Q50" s="10"/>
      <c r="R50" s="10"/>
      <c r="S50" s="10"/>
    </row>
    <row r="51" spans="1:19" x14ac:dyDescent="0.25">
      <c r="A51" s="5"/>
      <c r="B51" s="5"/>
      <c r="C51" s="5"/>
      <c r="D51" s="5"/>
      <c r="E51" s="6"/>
      <c r="F51" s="8"/>
      <c r="G51" s="6"/>
      <c r="H51" s="6"/>
      <c r="I51" s="6"/>
      <c r="J51" s="6"/>
      <c r="K51" s="6"/>
      <c r="L51" s="6"/>
      <c r="M51" s="6"/>
      <c r="N51" s="10"/>
      <c r="O51" s="10"/>
      <c r="P51" s="10"/>
      <c r="Q51" s="10"/>
      <c r="R51" s="10"/>
      <c r="S51" s="10"/>
    </row>
    <row r="52" spans="1:19" x14ac:dyDescent="0.25">
      <c r="A52" s="5"/>
      <c r="B52" s="5"/>
      <c r="C52" s="5"/>
      <c r="D52" s="5"/>
      <c r="E52" s="6"/>
      <c r="F52" s="6"/>
      <c r="G52" s="6"/>
      <c r="H52" s="6"/>
      <c r="I52" s="6"/>
      <c r="J52" s="6"/>
      <c r="K52" s="6"/>
      <c r="L52" s="6"/>
      <c r="M52" s="6"/>
      <c r="N52" s="10"/>
      <c r="O52" s="10"/>
      <c r="P52" s="10"/>
      <c r="Q52" s="10"/>
      <c r="R52" s="10"/>
      <c r="S52" s="10"/>
    </row>
    <row r="53" spans="1:19" x14ac:dyDescent="0.25">
      <c r="A53" s="5"/>
      <c r="B53" s="5"/>
      <c r="C53" s="5"/>
      <c r="D53" s="5"/>
      <c r="E53" s="6"/>
      <c r="F53" s="8"/>
      <c r="G53" s="8"/>
      <c r="H53" s="8"/>
      <c r="I53" s="6"/>
      <c r="J53" s="6"/>
      <c r="K53" s="6"/>
      <c r="L53" s="6"/>
      <c r="M53" s="6"/>
      <c r="N53" s="10"/>
      <c r="O53" s="10"/>
      <c r="P53" s="10"/>
      <c r="Q53" s="10"/>
      <c r="R53" s="10"/>
      <c r="S53" s="10"/>
    </row>
    <row r="54" spans="1:19" x14ac:dyDescent="0.25">
      <c r="A54" s="5"/>
      <c r="B54" s="5"/>
      <c r="C54" s="5"/>
      <c r="D54" s="5"/>
      <c r="E54" s="6"/>
      <c r="F54" s="8"/>
      <c r="G54" s="6"/>
      <c r="H54" s="6"/>
      <c r="I54" s="6"/>
      <c r="J54" s="6"/>
      <c r="K54" s="6"/>
      <c r="L54" s="6"/>
      <c r="M54" s="6"/>
      <c r="N54" s="10"/>
      <c r="O54" s="10"/>
      <c r="P54" s="10"/>
      <c r="Q54" s="10"/>
      <c r="R54" s="10"/>
      <c r="S54" s="10"/>
    </row>
    <row r="55" spans="1:19" x14ac:dyDescent="0.25">
      <c r="A55" s="5"/>
      <c r="B55" s="5"/>
      <c r="C55" s="5"/>
      <c r="D55" s="5"/>
      <c r="E55" s="6"/>
      <c r="F55" s="6"/>
      <c r="G55" s="6"/>
      <c r="H55" s="6"/>
      <c r="I55" s="6"/>
      <c r="J55" s="6"/>
      <c r="K55" s="6"/>
      <c r="L55" s="6"/>
      <c r="M55" s="6"/>
      <c r="N55" s="10"/>
      <c r="O55" s="10"/>
      <c r="P55" s="10"/>
      <c r="Q55" s="10"/>
      <c r="R55" s="10"/>
      <c r="S55" s="10"/>
    </row>
    <row r="56" spans="1:19" x14ac:dyDescent="0.25">
      <c r="A56" s="5"/>
      <c r="B56" s="5"/>
      <c r="C56" s="5"/>
      <c r="D56" s="5"/>
      <c r="E56" s="6"/>
      <c r="F56" s="8"/>
      <c r="G56" s="8"/>
      <c r="H56" s="8"/>
      <c r="I56" s="6"/>
      <c r="J56" s="6"/>
      <c r="K56" s="6"/>
      <c r="L56" s="6"/>
      <c r="M56" s="6"/>
      <c r="N56" s="10"/>
      <c r="O56" s="10"/>
      <c r="P56" s="10"/>
      <c r="Q56" s="10"/>
      <c r="R56" s="10"/>
      <c r="S56" s="10"/>
    </row>
    <row r="57" spans="1:19" x14ac:dyDescent="0.25">
      <c r="A57" s="5"/>
      <c r="B57" s="5"/>
      <c r="C57" s="5"/>
      <c r="D57" s="5"/>
      <c r="E57" s="6"/>
      <c r="F57" s="8"/>
      <c r="G57" s="6"/>
      <c r="H57" s="6"/>
      <c r="I57" s="6"/>
      <c r="J57" s="6"/>
      <c r="K57" s="6"/>
      <c r="L57" s="6"/>
      <c r="M57" s="6"/>
      <c r="N57" s="10"/>
      <c r="O57" s="10"/>
      <c r="P57" s="10"/>
      <c r="Q57" s="10"/>
      <c r="R57" s="10"/>
      <c r="S57" s="10"/>
    </row>
    <row r="58" spans="1:19" x14ac:dyDescent="0.25">
      <c r="A58" s="5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10"/>
      <c r="O58" s="10"/>
      <c r="P58" s="10"/>
      <c r="Q58" s="10"/>
      <c r="R58" s="10"/>
      <c r="S58" s="10"/>
    </row>
    <row r="59" spans="1:19" x14ac:dyDescent="0.25">
      <c r="A59" s="5"/>
      <c r="B59" s="5"/>
      <c r="C59" s="5"/>
      <c r="D59" s="5"/>
      <c r="E59" s="6"/>
      <c r="F59" s="8"/>
      <c r="G59" s="8"/>
      <c r="H59" s="8"/>
      <c r="I59" s="6"/>
      <c r="J59" s="6"/>
      <c r="K59" s="6"/>
      <c r="L59" s="6"/>
      <c r="M59" s="6"/>
      <c r="N59" s="10"/>
      <c r="O59" s="10"/>
      <c r="P59" s="10"/>
      <c r="Q59" s="10"/>
      <c r="R59" s="10"/>
      <c r="S59" s="10"/>
    </row>
    <row r="60" spans="1:19" x14ac:dyDescent="0.25">
      <c r="A60" s="5"/>
      <c r="B60" s="5"/>
      <c r="C60" s="5"/>
      <c r="D60" s="5"/>
      <c r="E60" s="6"/>
      <c r="F60" s="8"/>
      <c r="G60" s="6"/>
      <c r="H60" s="6"/>
      <c r="I60" s="6"/>
      <c r="J60" s="6"/>
      <c r="K60" s="6"/>
      <c r="L60" s="6"/>
      <c r="M60" s="6"/>
      <c r="N60" s="10"/>
      <c r="O60" s="10"/>
      <c r="P60" s="10"/>
      <c r="Q60" s="10"/>
      <c r="R60" s="10"/>
      <c r="S60" s="10"/>
    </row>
    <row r="61" spans="1:19" x14ac:dyDescent="0.25">
      <c r="A61" s="5"/>
      <c r="B61" s="5"/>
      <c r="C61" s="5"/>
      <c r="D61" s="5"/>
      <c r="E61" s="6"/>
      <c r="F61" s="6"/>
      <c r="G61" s="6"/>
      <c r="H61" s="6"/>
      <c r="I61" s="6"/>
      <c r="J61" s="6"/>
      <c r="K61" s="6"/>
      <c r="L61" s="6"/>
      <c r="M61" s="6"/>
      <c r="N61" s="10"/>
      <c r="O61" s="10"/>
      <c r="P61" s="10"/>
      <c r="Q61" s="10"/>
      <c r="R61" s="10"/>
      <c r="S61" s="10"/>
    </row>
    <row r="62" spans="1:19" x14ac:dyDescent="0.25">
      <c r="A62" s="5"/>
      <c r="B62" s="5"/>
      <c r="C62" s="5"/>
      <c r="D62" s="5"/>
      <c r="E62" s="6"/>
      <c r="F62" s="8"/>
      <c r="G62" s="8"/>
      <c r="H62" s="8"/>
      <c r="I62" s="6"/>
      <c r="J62" s="6"/>
      <c r="K62" s="6"/>
      <c r="L62" s="6"/>
      <c r="M62" s="6"/>
      <c r="N62" s="10"/>
      <c r="O62" s="10"/>
      <c r="P62" s="10"/>
      <c r="Q62" s="10"/>
      <c r="R62" s="10"/>
      <c r="S62" s="10"/>
    </row>
    <row r="63" spans="1:19" x14ac:dyDescent="0.25">
      <c r="A63" s="5"/>
      <c r="B63" s="5"/>
      <c r="C63" s="5"/>
      <c r="D63" s="5"/>
      <c r="E63" s="6"/>
      <c r="F63" s="8"/>
      <c r="G63" s="6"/>
      <c r="H63" s="6"/>
      <c r="I63" s="6"/>
      <c r="J63" s="6"/>
      <c r="K63" s="6"/>
      <c r="L63" s="6"/>
      <c r="M63" s="6"/>
      <c r="N63" s="10"/>
      <c r="O63" s="10"/>
      <c r="P63" s="10"/>
      <c r="Q63" s="10"/>
      <c r="R63" s="10"/>
      <c r="S63" s="10"/>
    </row>
    <row r="64" spans="1:19" x14ac:dyDescent="0.25">
      <c r="A64" s="5"/>
      <c r="B64" s="5"/>
      <c r="C64" s="5"/>
      <c r="D64" s="5"/>
      <c r="E64" s="6"/>
      <c r="F64" s="6"/>
      <c r="G64" s="6"/>
      <c r="H64" s="6"/>
      <c r="I64" s="6"/>
      <c r="J64" s="6"/>
      <c r="K64" s="6"/>
      <c r="L64" s="6"/>
      <c r="M64" s="6"/>
      <c r="N64" s="10"/>
      <c r="O64" s="10"/>
      <c r="P64" s="10"/>
      <c r="Q64" s="10"/>
      <c r="R64" s="10"/>
      <c r="S64" s="10"/>
    </row>
    <row r="65" spans="1:19" x14ac:dyDescent="0.25">
      <c r="A65" s="5"/>
      <c r="B65" s="5"/>
      <c r="C65" s="5"/>
      <c r="D65" s="5"/>
      <c r="E65" s="6"/>
      <c r="F65" s="8"/>
      <c r="G65" s="8"/>
      <c r="H65" s="8"/>
      <c r="I65" s="6"/>
      <c r="J65" s="6"/>
      <c r="K65" s="6"/>
      <c r="L65" s="6"/>
      <c r="M65" s="6"/>
      <c r="N65" s="10"/>
      <c r="O65" s="10"/>
      <c r="P65" s="10"/>
      <c r="Q65" s="10"/>
      <c r="R65" s="10"/>
      <c r="S65" s="10"/>
    </row>
    <row r="66" spans="1:19" x14ac:dyDescent="0.25">
      <c r="A66" s="5"/>
      <c r="B66" s="5"/>
      <c r="C66" s="5"/>
      <c r="D66" s="5"/>
      <c r="E66" s="6"/>
      <c r="F66" s="6"/>
      <c r="G66" s="6"/>
      <c r="H66" s="6"/>
      <c r="I66" s="6"/>
      <c r="J66" s="6"/>
      <c r="K66" s="6"/>
      <c r="L66" s="6"/>
      <c r="M66" s="6"/>
      <c r="N66" s="10"/>
      <c r="O66" s="10"/>
      <c r="P66" s="10"/>
      <c r="Q66" s="10"/>
      <c r="R66" s="10"/>
      <c r="S66" s="10"/>
    </row>
    <row r="67" spans="1:19" x14ac:dyDescent="0.25">
      <c r="A67" s="5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6"/>
      <c r="N67" s="10"/>
      <c r="O67" s="10"/>
      <c r="P67" s="10"/>
      <c r="Q67" s="10"/>
      <c r="R67" s="10"/>
      <c r="S67" s="10"/>
    </row>
    <row r="68" spans="1:19" x14ac:dyDescent="0.25">
      <c r="A68" s="5"/>
      <c r="B68" s="5"/>
      <c r="C68" s="5"/>
      <c r="D68" s="5"/>
      <c r="E68" s="6"/>
      <c r="F68" s="6"/>
      <c r="G68" s="6"/>
      <c r="H68" s="6"/>
      <c r="I68" s="6"/>
      <c r="J68" s="6"/>
      <c r="K68" s="6"/>
      <c r="L68" s="6"/>
      <c r="M68" s="6"/>
      <c r="N68" s="10"/>
      <c r="O68" s="10"/>
      <c r="P68" s="10"/>
      <c r="Q68" s="10"/>
      <c r="R68" s="10"/>
      <c r="S68" s="10"/>
    </row>
    <row r="69" spans="1:19" x14ac:dyDescent="0.25">
      <c r="A69" s="5"/>
      <c r="B69" s="5"/>
      <c r="C69" s="5"/>
      <c r="D69" s="5"/>
      <c r="E69" s="6"/>
      <c r="F69" s="6"/>
      <c r="G69" s="6"/>
      <c r="H69" s="6"/>
      <c r="I69" s="6"/>
      <c r="J69" s="6"/>
      <c r="K69" s="6"/>
      <c r="L69" s="6"/>
      <c r="M69" s="6"/>
      <c r="N69" s="10"/>
      <c r="O69" s="10"/>
      <c r="P69" s="10"/>
      <c r="Q69" s="10"/>
      <c r="R69" s="10"/>
      <c r="S69" s="10"/>
    </row>
    <row r="70" spans="1:19" x14ac:dyDescent="0.25">
      <c r="A70" s="5"/>
      <c r="B70" s="5"/>
      <c r="C70" s="5"/>
      <c r="D70" s="5"/>
      <c r="E70" s="6"/>
      <c r="F70" s="8"/>
      <c r="G70" s="8"/>
      <c r="H70" s="6"/>
      <c r="I70" s="6"/>
      <c r="J70" s="6"/>
      <c r="K70" s="6"/>
      <c r="L70" s="6"/>
      <c r="M70" s="6"/>
      <c r="N70" s="10"/>
      <c r="O70" s="10"/>
      <c r="P70" s="10"/>
      <c r="Q70" s="10"/>
      <c r="R70" s="10"/>
      <c r="S70" s="10"/>
    </row>
    <row r="71" spans="1:19" x14ac:dyDescent="0.25">
      <c r="A71" s="5"/>
      <c r="B71" s="5"/>
      <c r="C71" s="5"/>
      <c r="D71" s="5"/>
      <c r="E71" s="6"/>
      <c r="F71" s="8"/>
      <c r="G71" s="6"/>
      <c r="H71" s="6"/>
      <c r="I71" s="6"/>
      <c r="J71" s="6"/>
      <c r="K71" s="6"/>
      <c r="L71" s="6"/>
      <c r="M71" s="6"/>
      <c r="N71" s="10"/>
      <c r="O71" s="10"/>
      <c r="P71" s="10"/>
      <c r="Q71" s="10"/>
    </row>
    <row r="72" spans="1:19" x14ac:dyDescent="0.25">
      <c r="A72" s="5"/>
      <c r="B72" s="5"/>
      <c r="C72" s="5"/>
      <c r="D72" s="5"/>
      <c r="E72" s="6"/>
      <c r="F72" s="8"/>
      <c r="G72" s="6"/>
      <c r="H72" s="6"/>
      <c r="I72" s="6"/>
      <c r="J72" s="6"/>
      <c r="K72" s="6"/>
      <c r="L72" s="6"/>
      <c r="M72" s="6"/>
      <c r="N72" s="10"/>
      <c r="O72" s="10"/>
    </row>
    <row r="74" spans="1:19" x14ac:dyDescent="0.25">
      <c r="B74" s="5"/>
    </row>
    <row r="75" spans="1:19" x14ac:dyDescent="0.25">
      <c r="B75" s="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7273-00FF-4CB7-AAE1-E5108EB4BC63}">
  <dimension ref="A1:H78"/>
  <sheetViews>
    <sheetView zoomScale="115" zoomScaleNormal="115" workbookViewId="0">
      <selection activeCell="H49" sqref="H49"/>
    </sheetView>
  </sheetViews>
  <sheetFormatPr defaultColWidth="24.140625" defaultRowHeight="15" x14ac:dyDescent="0.25"/>
  <cols>
    <col min="1" max="1" width="32.7109375" customWidth="1"/>
    <col min="4" max="4" width="51.42578125" bestFit="1" customWidth="1"/>
  </cols>
  <sheetData>
    <row r="1" spans="1:8" x14ac:dyDescent="0.25">
      <c r="A1" s="157" t="s">
        <v>175</v>
      </c>
      <c r="B1" s="157" t="s">
        <v>2</v>
      </c>
      <c r="C1" s="157" t="s">
        <v>0</v>
      </c>
      <c r="D1" s="159" t="s">
        <v>384</v>
      </c>
      <c r="E1" s="156" t="s">
        <v>187</v>
      </c>
      <c r="F1" s="156" t="s">
        <v>188</v>
      </c>
      <c r="G1" s="154" t="s">
        <v>293</v>
      </c>
    </row>
    <row r="2" spans="1:8" x14ac:dyDescent="0.25">
      <c r="A2" s="158"/>
      <c r="B2" s="158"/>
      <c r="C2" s="158"/>
      <c r="D2" s="159"/>
      <c r="E2" s="156"/>
      <c r="F2" s="156"/>
      <c r="G2" s="155"/>
    </row>
    <row r="3" spans="1:8" x14ac:dyDescent="0.25">
      <c r="A3" s="21" t="s">
        <v>200</v>
      </c>
      <c r="B3" s="21" t="s">
        <v>155</v>
      </c>
      <c r="C3" s="21">
        <v>2015</v>
      </c>
      <c r="D3" s="24" t="s">
        <v>333</v>
      </c>
      <c r="E3" s="21">
        <v>4.5</v>
      </c>
      <c r="F3" s="21">
        <v>2</v>
      </c>
      <c r="G3" s="23">
        <v>2123</v>
      </c>
      <c r="H3" s="113">
        <f>E3*F3*G3</f>
        <v>19107</v>
      </c>
    </row>
    <row r="4" spans="1:8" x14ac:dyDescent="0.25">
      <c r="A4" s="21" t="s">
        <v>104</v>
      </c>
      <c r="B4" s="21" t="s">
        <v>117</v>
      </c>
      <c r="C4" s="21">
        <v>2075</v>
      </c>
      <c r="D4" s="24" t="s">
        <v>307</v>
      </c>
      <c r="E4" s="21">
        <v>100</v>
      </c>
      <c r="F4" s="21">
        <v>10</v>
      </c>
      <c r="G4" s="23">
        <v>2687</v>
      </c>
    </row>
    <row r="5" spans="1:8" x14ac:dyDescent="0.25">
      <c r="A5" s="21" t="s">
        <v>58</v>
      </c>
      <c r="B5" s="21" t="s">
        <v>143</v>
      </c>
      <c r="C5" s="21">
        <v>2120</v>
      </c>
      <c r="D5" s="22" t="s">
        <v>357</v>
      </c>
      <c r="E5" s="21">
        <v>25</v>
      </c>
      <c r="F5" s="21">
        <v>40</v>
      </c>
      <c r="G5" s="23">
        <v>57</v>
      </c>
    </row>
    <row r="6" spans="1:8" x14ac:dyDescent="0.25">
      <c r="A6" s="21" t="s">
        <v>58</v>
      </c>
      <c r="B6" s="21" t="s">
        <v>143</v>
      </c>
      <c r="C6" s="21">
        <v>2130</v>
      </c>
      <c r="D6" s="22" t="s">
        <v>358</v>
      </c>
      <c r="E6" s="21">
        <v>25</v>
      </c>
      <c r="F6" s="21">
        <v>10</v>
      </c>
      <c r="G6" s="23">
        <v>15</v>
      </c>
    </row>
    <row r="7" spans="1:8" x14ac:dyDescent="0.25">
      <c r="A7" s="21" t="s">
        <v>58</v>
      </c>
      <c r="B7" s="21" t="s">
        <v>353</v>
      </c>
      <c r="C7" s="21">
        <v>2135</v>
      </c>
      <c r="D7" s="22" t="s">
        <v>359</v>
      </c>
      <c r="E7" s="21">
        <v>10</v>
      </c>
      <c r="F7" s="21">
        <v>15</v>
      </c>
      <c r="G7" s="23">
        <v>90</v>
      </c>
    </row>
    <row r="8" spans="1:8" x14ac:dyDescent="0.25">
      <c r="A8" s="21" t="s">
        <v>58</v>
      </c>
      <c r="B8" s="21" t="s">
        <v>353</v>
      </c>
      <c r="C8" s="21">
        <v>2145</v>
      </c>
      <c r="D8" s="24" t="s">
        <v>354</v>
      </c>
      <c r="E8" s="21">
        <v>25</v>
      </c>
      <c r="F8" s="21">
        <v>40</v>
      </c>
      <c r="G8" s="23">
        <v>118</v>
      </c>
    </row>
    <row r="9" spans="1:8" x14ac:dyDescent="0.25">
      <c r="A9" s="21" t="s">
        <v>58</v>
      </c>
      <c r="B9" s="21" t="s">
        <v>353</v>
      </c>
      <c r="C9" s="21">
        <v>2150</v>
      </c>
      <c r="D9" s="24" t="s">
        <v>355</v>
      </c>
      <c r="E9" s="21">
        <v>25</v>
      </c>
      <c r="F9" s="21">
        <v>40</v>
      </c>
      <c r="G9" s="23">
        <v>74</v>
      </c>
    </row>
    <row r="10" spans="1:8" x14ac:dyDescent="0.25">
      <c r="A10" s="21" t="s">
        <v>58</v>
      </c>
      <c r="B10" s="21" t="s">
        <v>353</v>
      </c>
      <c r="C10" s="21">
        <v>2155</v>
      </c>
      <c r="D10" s="24" t="s">
        <v>356</v>
      </c>
      <c r="E10" s="21">
        <v>10</v>
      </c>
      <c r="F10" s="21">
        <v>40</v>
      </c>
      <c r="G10" s="23">
        <v>135</v>
      </c>
    </row>
    <row r="11" spans="1:8" x14ac:dyDescent="0.25">
      <c r="A11" s="21" t="s">
        <v>58</v>
      </c>
      <c r="B11" s="21" t="s">
        <v>353</v>
      </c>
      <c r="C11" s="21">
        <v>2170</v>
      </c>
      <c r="D11" s="22" t="s">
        <v>360</v>
      </c>
      <c r="E11" s="21">
        <v>50</v>
      </c>
      <c r="F11" s="21">
        <v>5</v>
      </c>
      <c r="G11" s="23">
        <v>2</v>
      </c>
    </row>
    <row r="12" spans="1:8" x14ac:dyDescent="0.25">
      <c r="A12" s="21" t="s">
        <v>58</v>
      </c>
      <c r="B12" s="21" t="s">
        <v>117</v>
      </c>
      <c r="C12" s="21">
        <v>2250</v>
      </c>
      <c r="D12" s="22" t="s">
        <v>361</v>
      </c>
      <c r="E12" s="21" t="s">
        <v>362</v>
      </c>
      <c r="F12" s="21">
        <v>4</v>
      </c>
      <c r="G12" s="23">
        <v>215</v>
      </c>
    </row>
    <row r="13" spans="1:8" x14ac:dyDescent="0.25">
      <c r="A13" s="21" t="s">
        <v>58</v>
      </c>
      <c r="B13" s="21" t="s">
        <v>117</v>
      </c>
      <c r="C13" s="21">
        <v>2255</v>
      </c>
      <c r="D13" s="24" t="s">
        <v>364</v>
      </c>
      <c r="E13" s="21">
        <v>25</v>
      </c>
      <c r="F13" s="21">
        <v>8</v>
      </c>
      <c r="G13" s="23">
        <v>2368</v>
      </c>
    </row>
    <row r="14" spans="1:8" x14ac:dyDescent="0.25">
      <c r="A14" s="21" t="s">
        <v>104</v>
      </c>
      <c r="B14" s="21" t="s">
        <v>117</v>
      </c>
      <c r="C14" s="21">
        <v>2260</v>
      </c>
      <c r="D14" s="24" t="s">
        <v>308</v>
      </c>
      <c r="E14" s="21">
        <v>100</v>
      </c>
      <c r="F14" s="21">
        <v>10</v>
      </c>
      <c r="G14" s="23">
        <v>144</v>
      </c>
    </row>
    <row r="15" spans="1:8" x14ac:dyDescent="0.25">
      <c r="A15" s="21" t="s">
        <v>104</v>
      </c>
      <c r="B15" s="21" t="s">
        <v>117</v>
      </c>
      <c r="C15" s="21">
        <v>2305</v>
      </c>
      <c r="D15" s="24" t="s">
        <v>309</v>
      </c>
      <c r="E15" s="21">
        <v>100</v>
      </c>
      <c r="F15" s="21">
        <v>10</v>
      </c>
      <c r="G15" s="23">
        <v>13442</v>
      </c>
    </row>
    <row r="16" spans="1:8" x14ac:dyDescent="0.25">
      <c r="A16" s="21" t="s">
        <v>104</v>
      </c>
      <c r="B16" s="21" t="s">
        <v>117</v>
      </c>
      <c r="C16" s="21">
        <v>2310</v>
      </c>
      <c r="D16" s="24" t="s">
        <v>310</v>
      </c>
      <c r="E16" s="21">
        <v>100</v>
      </c>
      <c r="F16" s="21">
        <v>10</v>
      </c>
      <c r="G16" s="23">
        <v>1191</v>
      </c>
    </row>
    <row r="17" spans="1:7" x14ac:dyDescent="0.25">
      <c r="A17" s="21" t="s">
        <v>317</v>
      </c>
      <c r="B17" s="21" t="s">
        <v>318</v>
      </c>
      <c r="C17" s="21">
        <v>2335</v>
      </c>
      <c r="D17" s="24" t="s">
        <v>324</v>
      </c>
      <c r="E17" s="21">
        <v>200</v>
      </c>
      <c r="F17" s="21">
        <v>10</v>
      </c>
      <c r="G17" s="23">
        <v>1827</v>
      </c>
    </row>
    <row r="18" spans="1:7" x14ac:dyDescent="0.25">
      <c r="A18" s="21" t="s">
        <v>317</v>
      </c>
      <c r="B18" s="21" t="s">
        <v>318</v>
      </c>
      <c r="C18" s="21">
        <v>2340</v>
      </c>
      <c r="D18" s="24" t="s">
        <v>319</v>
      </c>
      <c r="E18" s="21">
        <v>200</v>
      </c>
      <c r="F18" s="21">
        <v>10</v>
      </c>
      <c r="G18" s="23">
        <v>312</v>
      </c>
    </row>
    <row r="19" spans="1:7" x14ac:dyDescent="0.25">
      <c r="A19" s="21" t="s">
        <v>317</v>
      </c>
      <c r="B19" s="21" t="s">
        <v>318</v>
      </c>
      <c r="C19" s="21">
        <v>2350</v>
      </c>
      <c r="D19" s="24" t="s">
        <v>321</v>
      </c>
      <c r="E19" s="21">
        <v>200</v>
      </c>
      <c r="F19" s="21">
        <v>10</v>
      </c>
      <c r="G19" s="23">
        <v>103</v>
      </c>
    </row>
    <row r="20" spans="1:7" x14ac:dyDescent="0.25">
      <c r="A20" s="21" t="s">
        <v>317</v>
      </c>
      <c r="B20" s="21" t="s">
        <v>318</v>
      </c>
      <c r="C20" s="21">
        <v>2355</v>
      </c>
      <c r="D20" s="24" t="s">
        <v>320</v>
      </c>
      <c r="E20" s="21">
        <v>200</v>
      </c>
      <c r="F20" s="21">
        <v>10</v>
      </c>
      <c r="G20" s="23">
        <v>242</v>
      </c>
    </row>
    <row r="21" spans="1:7" x14ac:dyDescent="0.25">
      <c r="A21" s="21" t="s">
        <v>317</v>
      </c>
      <c r="B21" s="21" t="s">
        <v>318</v>
      </c>
      <c r="C21" s="21">
        <v>2360</v>
      </c>
      <c r="D21" s="24" t="s">
        <v>322</v>
      </c>
      <c r="E21" s="21">
        <v>200</v>
      </c>
      <c r="F21" s="21">
        <v>10</v>
      </c>
      <c r="G21" s="23">
        <v>112</v>
      </c>
    </row>
    <row r="22" spans="1:7" x14ac:dyDescent="0.25">
      <c r="A22" s="21" t="s">
        <v>317</v>
      </c>
      <c r="B22" s="21" t="s">
        <v>318</v>
      </c>
      <c r="C22" s="21">
        <v>2370</v>
      </c>
      <c r="D22" s="24" t="s">
        <v>323</v>
      </c>
      <c r="E22" s="21">
        <v>200</v>
      </c>
      <c r="F22" s="21">
        <v>10</v>
      </c>
      <c r="G22" s="23">
        <v>79</v>
      </c>
    </row>
    <row r="23" spans="1:7" x14ac:dyDescent="0.25">
      <c r="A23" s="21" t="s">
        <v>104</v>
      </c>
      <c r="B23" s="21" t="s">
        <v>117</v>
      </c>
      <c r="C23" s="21">
        <v>2385</v>
      </c>
      <c r="D23" s="24" t="s">
        <v>304</v>
      </c>
      <c r="E23" s="21">
        <v>100</v>
      </c>
      <c r="F23" s="21">
        <v>10</v>
      </c>
      <c r="G23" s="23">
        <v>505</v>
      </c>
    </row>
    <row r="24" spans="1:7" x14ac:dyDescent="0.25">
      <c r="A24" s="21" t="s">
        <v>104</v>
      </c>
      <c r="B24" s="21" t="s">
        <v>117</v>
      </c>
      <c r="C24" s="21">
        <v>2395</v>
      </c>
      <c r="D24" s="24" t="s">
        <v>305</v>
      </c>
      <c r="E24" s="21">
        <v>100</v>
      </c>
      <c r="F24" s="21">
        <v>10</v>
      </c>
      <c r="G24" s="23">
        <v>479</v>
      </c>
    </row>
    <row r="25" spans="1:7" x14ac:dyDescent="0.25">
      <c r="A25" s="21" t="s">
        <v>104</v>
      </c>
      <c r="B25" s="21" t="s">
        <v>117</v>
      </c>
      <c r="C25" s="21">
        <v>2400</v>
      </c>
      <c r="D25" s="24" t="s">
        <v>306</v>
      </c>
      <c r="E25" s="21">
        <v>100</v>
      </c>
      <c r="F25" s="21">
        <v>10</v>
      </c>
      <c r="G25" s="23">
        <v>157</v>
      </c>
    </row>
    <row r="26" spans="1:7" x14ac:dyDescent="0.25">
      <c r="A26" s="21" t="s">
        <v>104</v>
      </c>
      <c r="B26" s="21" t="s">
        <v>117</v>
      </c>
      <c r="C26" s="21">
        <v>2410</v>
      </c>
      <c r="D26" s="24" t="s">
        <v>301</v>
      </c>
      <c r="E26" s="21">
        <v>100</v>
      </c>
      <c r="F26" s="21">
        <v>10</v>
      </c>
      <c r="G26" s="23">
        <v>142</v>
      </c>
    </row>
    <row r="27" spans="1:7" x14ac:dyDescent="0.25">
      <c r="A27" s="21" t="s">
        <v>104</v>
      </c>
      <c r="B27" s="21" t="s">
        <v>117</v>
      </c>
      <c r="C27" s="21">
        <v>2415</v>
      </c>
      <c r="D27" s="24" t="s">
        <v>302</v>
      </c>
      <c r="E27" s="21">
        <v>100</v>
      </c>
      <c r="F27" s="21">
        <v>10</v>
      </c>
      <c r="G27" s="23">
        <v>127</v>
      </c>
    </row>
    <row r="28" spans="1:7" x14ac:dyDescent="0.25">
      <c r="A28" s="21" t="s">
        <v>104</v>
      </c>
      <c r="B28" s="21" t="s">
        <v>117</v>
      </c>
      <c r="C28" s="21">
        <v>2420</v>
      </c>
      <c r="D28" s="24" t="s">
        <v>303</v>
      </c>
      <c r="E28" s="21">
        <v>100</v>
      </c>
      <c r="F28" s="21">
        <v>10</v>
      </c>
      <c r="G28" s="23">
        <v>39</v>
      </c>
    </row>
    <row r="29" spans="1:7" x14ac:dyDescent="0.25">
      <c r="A29" s="21" t="s">
        <v>338</v>
      </c>
      <c r="B29" s="21" t="s">
        <v>157</v>
      </c>
      <c r="C29" s="21">
        <v>2460</v>
      </c>
      <c r="D29" s="24" t="s">
        <v>339</v>
      </c>
      <c r="E29" s="21">
        <v>1</v>
      </c>
      <c r="F29" s="21">
        <v>1000</v>
      </c>
      <c r="G29" s="23">
        <v>10642</v>
      </c>
    </row>
    <row r="30" spans="1:7" x14ac:dyDescent="0.25">
      <c r="A30" s="21" t="s">
        <v>338</v>
      </c>
      <c r="B30" s="21" t="s">
        <v>157</v>
      </c>
      <c r="C30" s="21">
        <v>2465</v>
      </c>
      <c r="D30" s="24" t="s">
        <v>341</v>
      </c>
      <c r="E30" s="21">
        <v>1</v>
      </c>
      <c r="F30" s="21">
        <v>1000</v>
      </c>
      <c r="G30" s="23">
        <v>2666</v>
      </c>
    </row>
    <row r="31" spans="1:7" x14ac:dyDescent="0.25">
      <c r="A31" s="21" t="s">
        <v>338</v>
      </c>
      <c r="B31" s="21" t="s">
        <v>157</v>
      </c>
      <c r="C31" s="21">
        <v>2470</v>
      </c>
      <c r="D31" s="24" t="s">
        <v>340</v>
      </c>
      <c r="E31" s="21">
        <v>1</v>
      </c>
      <c r="F31" s="21">
        <v>1000</v>
      </c>
      <c r="G31" s="23">
        <v>5408</v>
      </c>
    </row>
    <row r="32" spans="1:7" x14ac:dyDescent="0.25">
      <c r="A32" s="21" t="s">
        <v>338</v>
      </c>
      <c r="B32" s="21" t="s">
        <v>157</v>
      </c>
      <c r="C32" s="21">
        <v>2475</v>
      </c>
      <c r="D32" s="24" t="s">
        <v>342</v>
      </c>
      <c r="E32" s="21">
        <v>1</v>
      </c>
      <c r="F32" s="21">
        <v>1000</v>
      </c>
      <c r="G32" s="23">
        <v>3722</v>
      </c>
    </row>
    <row r="33" spans="1:7" x14ac:dyDescent="0.25">
      <c r="A33" s="21" t="s">
        <v>338</v>
      </c>
      <c r="B33" s="21" t="s">
        <v>157</v>
      </c>
      <c r="C33" s="21">
        <v>2480</v>
      </c>
      <c r="D33" s="24" t="s">
        <v>343</v>
      </c>
      <c r="E33" s="21">
        <v>1</v>
      </c>
      <c r="F33" s="21">
        <v>1000</v>
      </c>
      <c r="G33" s="23">
        <v>5209</v>
      </c>
    </row>
    <row r="34" spans="1:7" x14ac:dyDescent="0.25">
      <c r="A34" s="21" t="s">
        <v>338</v>
      </c>
      <c r="B34" s="21" t="s">
        <v>157</v>
      </c>
      <c r="C34" s="21">
        <v>2485</v>
      </c>
      <c r="D34" s="24" t="s">
        <v>344</v>
      </c>
      <c r="E34" s="21">
        <v>1</v>
      </c>
      <c r="F34" s="21">
        <v>1000</v>
      </c>
      <c r="G34" s="23">
        <v>1429</v>
      </c>
    </row>
    <row r="35" spans="1:7" x14ac:dyDescent="0.25">
      <c r="A35" s="21" t="s">
        <v>37</v>
      </c>
      <c r="B35" s="21" t="s">
        <v>153</v>
      </c>
      <c r="C35" s="21">
        <v>2515</v>
      </c>
      <c r="D35" s="24" t="s">
        <v>375</v>
      </c>
      <c r="E35" s="21" t="s">
        <v>376</v>
      </c>
      <c r="F35" s="21">
        <v>1</v>
      </c>
      <c r="G35" s="23">
        <v>10146</v>
      </c>
    </row>
    <row r="36" spans="1:7" x14ac:dyDescent="0.25">
      <c r="A36" s="21" t="s">
        <v>37</v>
      </c>
      <c r="B36" s="21" t="s">
        <v>96</v>
      </c>
      <c r="C36" s="21">
        <v>2525</v>
      </c>
      <c r="D36" s="24" t="s">
        <v>368</v>
      </c>
      <c r="E36" s="21" t="s">
        <v>369</v>
      </c>
      <c r="F36" s="21">
        <v>1</v>
      </c>
      <c r="G36" s="23">
        <v>5697</v>
      </c>
    </row>
    <row r="37" spans="1:7" x14ac:dyDescent="0.25">
      <c r="A37" s="21" t="s">
        <v>37</v>
      </c>
      <c r="B37" s="21" t="s">
        <v>96</v>
      </c>
      <c r="C37" s="21">
        <v>2530</v>
      </c>
      <c r="D37" s="24" t="s">
        <v>370</v>
      </c>
      <c r="E37" s="21" t="s">
        <v>371</v>
      </c>
      <c r="F37" s="21">
        <v>1</v>
      </c>
      <c r="G37" s="23">
        <v>156</v>
      </c>
    </row>
    <row r="38" spans="1:7" x14ac:dyDescent="0.25">
      <c r="A38" s="21" t="s">
        <v>37</v>
      </c>
      <c r="B38" s="21" t="s">
        <v>96</v>
      </c>
      <c r="C38" s="21">
        <v>2530</v>
      </c>
      <c r="D38" s="24" t="s">
        <v>381</v>
      </c>
      <c r="E38" s="21" t="s">
        <v>371</v>
      </c>
      <c r="F38" s="21">
        <v>1</v>
      </c>
      <c r="G38" s="23">
        <v>136</v>
      </c>
    </row>
    <row r="39" spans="1:7" x14ac:dyDescent="0.25">
      <c r="A39" s="21" t="s">
        <v>37</v>
      </c>
      <c r="B39" s="21" t="s">
        <v>96</v>
      </c>
      <c r="C39" s="21">
        <v>2535</v>
      </c>
      <c r="D39" s="24" t="s">
        <v>372</v>
      </c>
      <c r="E39" s="21" t="s">
        <v>369</v>
      </c>
      <c r="F39" s="21">
        <v>1</v>
      </c>
      <c r="G39" s="23">
        <v>2756</v>
      </c>
    </row>
    <row r="40" spans="1:7" x14ac:dyDescent="0.25">
      <c r="A40" s="21" t="s">
        <v>118</v>
      </c>
      <c r="B40" s="21" t="s">
        <v>117</v>
      </c>
      <c r="C40" s="21">
        <v>5930</v>
      </c>
      <c r="D40" s="24" t="s">
        <v>116</v>
      </c>
      <c r="E40" s="21">
        <v>1</v>
      </c>
      <c r="F40" s="21">
        <v>12</v>
      </c>
      <c r="G40" s="23">
        <v>19632</v>
      </c>
    </row>
    <row r="41" spans="1:7" x14ac:dyDescent="0.25">
      <c r="A41" s="21" t="s">
        <v>37</v>
      </c>
      <c r="B41" s="21" t="s">
        <v>155</v>
      </c>
      <c r="C41" s="21">
        <v>5955</v>
      </c>
      <c r="D41" s="24" t="s">
        <v>377</v>
      </c>
      <c r="E41" s="21" t="s">
        <v>378</v>
      </c>
      <c r="F41" s="21">
        <v>4</v>
      </c>
      <c r="G41" s="23">
        <v>10095</v>
      </c>
    </row>
    <row r="42" spans="1:7" x14ac:dyDescent="0.25">
      <c r="A42" s="21" t="s">
        <v>200</v>
      </c>
      <c r="B42" s="21" t="s">
        <v>166</v>
      </c>
      <c r="C42" s="21">
        <v>10043</v>
      </c>
      <c r="D42" s="24" t="s">
        <v>334</v>
      </c>
      <c r="E42" s="21">
        <v>2.2999999999999998</v>
      </c>
      <c r="F42" s="21">
        <v>2</v>
      </c>
      <c r="G42" s="23">
        <v>3095</v>
      </c>
    </row>
    <row r="43" spans="1:7" x14ac:dyDescent="0.25">
      <c r="A43" s="21" t="s">
        <v>317</v>
      </c>
      <c r="B43" s="21" t="s">
        <v>318</v>
      </c>
      <c r="C43" s="21">
        <v>10058</v>
      </c>
      <c r="D43" s="24" t="s">
        <v>330</v>
      </c>
      <c r="E43" s="21">
        <v>150</v>
      </c>
      <c r="F43" s="21">
        <v>12</v>
      </c>
      <c r="G43" s="23">
        <v>100</v>
      </c>
    </row>
    <row r="44" spans="1:7" x14ac:dyDescent="0.25">
      <c r="A44" s="21" t="s">
        <v>317</v>
      </c>
      <c r="B44" s="21" t="s">
        <v>318</v>
      </c>
      <c r="C44" s="21">
        <v>10059</v>
      </c>
      <c r="D44" s="24" t="s">
        <v>325</v>
      </c>
      <c r="E44" s="21">
        <v>150</v>
      </c>
      <c r="F44" s="21">
        <v>12</v>
      </c>
      <c r="G44" s="23">
        <v>190</v>
      </c>
    </row>
    <row r="45" spans="1:7" x14ac:dyDescent="0.25">
      <c r="A45" s="21" t="s">
        <v>317</v>
      </c>
      <c r="B45" s="21" t="s">
        <v>318</v>
      </c>
      <c r="C45" s="21">
        <v>10060</v>
      </c>
      <c r="D45" s="24" t="s">
        <v>326</v>
      </c>
      <c r="E45" s="21">
        <v>150</v>
      </c>
      <c r="F45" s="21">
        <v>12</v>
      </c>
      <c r="G45" s="23">
        <v>107</v>
      </c>
    </row>
    <row r="46" spans="1:7" x14ac:dyDescent="0.25">
      <c r="A46" s="21" t="s">
        <v>317</v>
      </c>
      <c r="B46" s="21" t="s">
        <v>318</v>
      </c>
      <c r="C46" s="21">
        <v>10061</v>
      </c>
      <c r="D46" s="24" t="s">
        <v>327</v>
      </c>
      <c r="E46" s="21">
        <v>150</v>
      </c>
      <c r="F46" s="21">
        <v>12</v>
      </c>
      <c r="G46" s="23">
        <v>123</v>
      </c>
    </row>
    <row r="47" spans="1:7" x14ac:dyDescent="0.25">
      <c r="A47" s="21" t="s">
        <v>317</v>
      </c>
      <c r="B47" s="21" t="s">
        <v>318</v>
      </c>
      <c r="C47" s="21">
        <v>10062</v>
      </c>
      <c r="D47" s="24" t="s">
        <v>328</v>
      </c>
      <c r="E47" s="21">
        <v>150</v>
      </c>
      <c r="F47" s="21">
        <v>12</v>
      </c>
      <c r="G47" s="23">
        <v>62</v>
      </c>
    </row>
    <row r="48" spans="1:7" x14ac:dyDescent="0.25">
      <c r="A48" s="21" t="s">
        <v>317</v>
      </c>
      <c r="B48" s="21" t="s">
        <v>318</v>
      </c>
      <c r="C48" s="21">
        <v>10066</v>
      </c>
      <c r="D48" s="24" t="s">
        <v>329</v>
      </c>
      <c r="E48" s="21">
        <v>150</v>
      </c>
      <c r="F48" s="21">
        <v>12</v>
      </c>
      <c r="G48" s="23">
        <v>680</v>
      </c>
    </row>
    <row r="49" spans="1:8" x14ac:dyDescent="0.25">
      <c r="A49" s="21" t="s">
        <v>137</v>
      </c>
      <c r="B49" s="21" t="s">
        <v>136</v>
      </c>
      <c r="C49" s="21">
        <v>10105</v>
      </c>
      <c r="D49" s="24" t="s">
        <v>351</v>
      </c>
      <c r="E49" s="21" t="s">
        <v>352</v>
      </c>
      <c r="F49" s="21">
        <v>1</v>
      </c>
      <c r="G49" s="23">
        <v>2496</v>
      </c>
      <c r="H49" s="73">
        <f>G49*20</f>
        <v>49920</v>
      </c>
    </row>
    <row r="50" spans="1:8" x14ac:dyDescent="0.25">
      <c r="A50" s="21" t="s">
        <v>118</v>
      </c>
      <c r="B50" s="21" t="s">
        <v>117</v>
      </c>
      <c r="C50" s="21">
        <v>10118</v>
      </c>
      <c r="D50" s="24" t="s">
        <v>119</v>
      </c>
      <c r="E50" s="21">
        <v>1</v>
      </c>
      <c r="F50" s="21">
        <v>12</v>
      </c>
      <c r="G50" s="23">
        <v>12924</v>
      </c>
    </row>
    <row r="51" spans="1:8" x14ac:dyDescent="0.25">
      <c r="A51" s="21" t="s">
        <v>37</v>
      </c>
      <c r="B51" s="21" t="s">
        <v>166</v>
      </c>
      <c r="C51" s="21">
        <v>10148</v>
      </c>
      <c r="D51" s="24" t="s">
        <v>373</v>
      </c>
      <c r="E51" s="21" t="s">
        <v>374</v>
      </c>
      <c r="F51" s="21">
        <v>1</v>
      </c>
      <c r="G51" s="23">
        <v>3672</v>
      </c>
    </row>
    <row r="52" spans="1:8" x14ac:dyDescent="0.25">
      <c r="A52" s="21" t="s">
        <v>58</v>
      </c>
      <c r="B52" s="21" t="s">
        <v>117</v>
      </c>
      <c r="C52" s="21">
        <v>10177</v>
      </c>
      <c r="D52" s="22" t="s">
        <v>363</v>
      </c>
      <c r="E52" s="21">
        <v>25</v>
      </c>
      <c r="F52" s="21">
        <v>4</v>
      </c>
      <c r="G52" s="23">
        <v>1876</v>
      </c>
    </row>
    <row r="53" spans="1:8" x14ac:dyDescent="0.25">
      <c r="A53" s="21" t="s">
        <v>58</v>
      </c>
      <c r="B53" s="21" t="s">
        <v>117</v>
      </c>
      <c r="C53" s="21">
        <v>10178</v>
      </c>
      <c r="D53" s="24" t="s">
        <v>365</v>
      </c>
      <c r="E53" s="21">
        <v>25</v>
      </c>
      <c r="F53" s="21">
        <v>8</v>
      </c>
      <c r="G53" s="23">
        <v>1880</v>
      </c>
    </row>
    <row r="54" spans="1:8" x14ac:dyDescent="0.25">
      <c r="A54" s="21" t="s">
        <v>58</v>
      </c>
      <c r="B54" s="21" t="s">
        <v>117</v>
      </c>
      <c r="C54" s="21">
        <v>10180</v>
      </c>
      <c r="D54" s="22" t="s">
        <v>367</v>
      </c>
      <c r="E54" s="21">
        <v>25</v>
      </c>
      <c r="F54" s="21">
        <v>8</v>
      </c>
      <c r="G54" s="23">
        <v>1106</v>
      </c>
    </row>
    <row r="55" spans="1:8" x14ac:dyDescent="0.25">
      <c r="A55" s="21" t="s">
        <v>104</v>
      </c>
      <c r="B55" s="21" t="s">
        <v>311</v>
      </c>
      <c r="C55" s="21">
        <v>10205</v>
      </c>
      <c r="D55" s="24" t="s">
        <v>312</v>
      </c>
      <c r="E55" s="21">
        <v>100</v>
      </c>
      <c r="F55" s="21">
        <v>10</v>
      </c>
      <c r="G55" s="23">
        <v>5</v>
      </c>
    </row>
    <row r="56" spans="1:8" x14ac:dyDescent="0.25">
      <c r="A56" s="21" t="s">
        <v>58</v>
      </c>
      <c r="B56" s="21" t="s">
        <v>117</v>
      </c>
      <c r="C56" s="21">
        <v>10318</v>
      </c>
      <c r="D56" s="24" t="s">
        <v>366</v>
      </c>
      <c r="E56" s="21">
        <v>50</v>
      </c>
      <c r="F56" s="21">
        <v>2</v>
      </c>
      <c r="G56" s="23">
        <v>554</v>
      </c>
    </row>
    <row r="57" spans="1:8" x14ac:dyDescent="0.25">
      <c r="A57" s="21" t="s">
        <v>200</v>
      </c>
      <c r="B57" s="21" t="s">
        <v>146</v>
      </c>
      <c r="C57" s="21">
        <v>10376</v>
      </c>
      <c r="D57" s="22" t="s">
        <v>331</v>
      </c>
      <c r="E57" s="21">
        <v>20</v>
      </c>
      <c r="F57" s="21">
        <v>96</v>
      </c>
      <c r="G57" s="23">
        <v>7254.96</v>
      </c>
    </row>
    <row r="58" spans="1:8" x14ac:dyDescent="0.25">
      <c r="A58" s="21" t="s">
        <v>200</v>
      </c>
      <c r="B58" s="21" t="s">
        <v>146</v>
      </c>
      <c r="C58" s="21">
        <v>10377</v>
      </c>
      <c r="D58" s="24" t="s">
        <v>336</v>
      </c>
      <c r="E58" s="21">
        <v>20</v>
      </c>
      <c r="F58" s="21">
        <v>96</v>
      </c>
      <c r="G58" s="23">
        <v>3944</v>
      </c>
    </row>
    <row r="59" spans="1:8" x14ac:dyDescent="0.25">
      <c r="A59" s="21" t="s">
        <v>200</v>
      </c>
      <c r="B59" s="21" t="s">
        <v>146</v>
      </c>
      <c r="C59" s="21">
        <v>10378</v>
      </c>
      <c r="D59" s="24" t="s">
        <v>337</v>
      </c>
      <c r="E59" s="21">
        <v>20</v>
      </c>
      <c r="F59" s="21">
        <v>96</v>
      </c>
      <c r="G59" s="23">
        <v>1021</v>
      </c>
    </row>
    <row r="60" spans="1:8" x14ac:dyDescent="0.25">
      <c r="A60" s="21" t="s">
        <v>200</v>
      </c>
      <c r="B60" s="21" t="s">
        <v>146</v>
      </c>
      <c r="C60" s="21">
        <v>10379</v>
      </c>
      <c r="D60" s="24" t="s">
        <v>332</v>
      </c>
      <c r="E60" s="21">
        <v>20</v>
      </c>
      <c r="F60" s="21">
        <v>96</v>
      </c>
      <c r="G60" s="23">
        <v>5917</v>
      </c>
    </row>
    <row r="61" spans="1:8" x14ac:dyDescent="0.25">
      <c r="A61" s="21" t="s">
        <v>200</v>
      </c>
      <c r="B61" s="21" t="s">
        <v>146</v>
      </c>
      <c r="C61" s="21">
        <v>10385</v>
      </c>
      <c r="D61" s="24" t="s">
        <v>335</v>
      </c>
      <c r="E61" s="21">
        <v>20</v>
      </c>
      <c r="F61" s="21">
        <v>96</v>
      </c>
      <c r="G61" s="23">
        <v>4019</v>
      </c>
    </row>
    <row r="62" spans="1:8" x14ac:dyDescent="0.25">
      <c r="A62" s="21" t="s">
        <v>104</v>
      </c>
      <c r="B62" s="21" t="s">
        <v>143</v>
      </c>
      <c r="C62" s="21">
        <v>10428</v>
      </c>
      <c r="D62" s="24" t="s">
        <v>298</v>
      </c>
      <c r="E62" s="21">
        <v>50</v>
      </c>
      <c r="F62" s="21">
        <v>10</v>
      </c>
      <c r="G62" s="23">
        <v>1</v>
      </c>
    </row>
    <row r="63" spans="1:8" x14ac:dyDescent="0.25">
      <c r="A63" s="21" t="s">
        <v>104</v>
      </c>
      <c r="B63" s="21" t="s">
        <v>103</v>
      </c>
      <c r="C63" s="21">
        <v>10487</v>
      </c>
      <c r="D63" s="24" t="s">
        <v>300</v>
      </c>
      <c r="E63" s="21">
        <v>50</v>
      </c>
      <c r="F63" s="21">
        <v>16</v>
      </c>
      <c r="G63" s="23">
        <v>244</v>
      </c>
    </row>
    <row r="64" spans="1:8" x14ac:dyDescent="0.25">
      <c r="A64" s="21" t="s">
        <v>104</v>
      </c>
      <c r="B64" s="21" t="s">
        <v>103</v>
      </c>
      <c r="C64" s="21">
        <v>10488</v>
      </c>
      <c r="D64" s="24" t="s">
        <v>299</v>
      </c>
      <c r="E64" s="21">
        <v>50</v>
      </c>
      <c r="F64" s="21">
        <v>25</v>
      </c>
      <c r="G64" s="23">
        <v>586</v>
      </c>
    </row>
    <row r="65" spans="1:7" x14ac:dyDescent="0.25">
      <c r="A65" s="21" t="s">
        <v>104</v>
      </c>
      <c r="B65" s="21" t="s">
        <v>103</v>
      </c>
      <c r="C65" s="21">
        <v>10489</v>
      </c>
      <c r="D65" s="22" t="s">
        <v>296</v>
      </c>
      <c r="E65" s="21">
        <v>100</v>
      </c>
      <c r="F65" s="21">
        <v>30</v>
      </c>
      <c r="G65" s="23">
        <v>29</v>
      </c>
    </row>
    <row r="66" spans="1:7" x14ac:dyDescent="0.25">
      <c r="A66" s="21" t="s">
        <v>104</v>
      </c>
      <c r="B66" s="21" t="s">
        <v>103</v>
      </c>
      <c r="C66" s="21">
        <v>10519</v>
      </c>
      <c r="D66" s="22" t="s">
        <v>294</v>
      </c>
      <c r="E66" s="21">
        <v>100</v>
      </c>
      <c r="F66" s="21">
        <v>10</v>
      </c>
      <c r="G66" s="23">
        <v>125</v>
      </c>
    </row>
    <row r="67" spans="1:7" x14ac:dyDescent="0.25">
      <c r="A67" s="21" t="s">
        <v>104</v>
      </c>
      <c r="B67" s="21" t="s">
        <v>103</v>
      </c>
      <c r="C67" s="21">
        <v>10519</v>
      </c>
      <c r="D67" s="24" t="s">
        <v>316</v>
      </c>
      <c r="E67" s="21">
        <v>100</v>
      </c>
      <c r="F67" s="21">
        <v>10</v>
      </c>
      <c r="G67" s="23">
        <v>216</v>
      </c>
    </row>
    <row r="68" spans="1:7" x14ac:dyDescent="0.25">
      <c r="A68" s="21" t="s">
        <v>104</v>
      </c>
      <c r="B68" s="21" t="s">
        <v>103</v>
      </c>
      <c r="C68" s="21">
        <v>10520</v>
      </c>
      <c r="D68" s="22" t="s">
        <v>295</v>
      </c>
      <c r="E68" s="21">
        <v>100</v>
      </c>
      <c r="F68" s="21">
        <v>10</v>
      </c>
      <c r="G68" s="23">
        <v>142</v>
      </c>
    </row>
    <row r="69" spans="1:7" x14ac:dyDescent="0.25">
      <c r="A69" s="21" t="s">
        <v>104</v>
      </c>
      <c r="B69" s="21" t="s">
        <v>103</v>
      </c>
      <c r="C69" s="21">
        <v>10520</v>
      </c>
      <c r="D69" s="24" t="s">
        <v>315</v>
      </c>
      <c r="E69" s="21">
        <v>100</v>
      </c>
      <c r="F69" s="21">
        <v>10</v>
      </c>
      <c r="G69" s="23">
        <v>2226</v>
      </c>
    </row>
    <row r="70" spans="1:7" x14ac:dyDescent="0.25">
      <c r="A70" s="21" t="s">
        <v>104</v>
      </c>
      <c r="B70" s="21" t="s">
        <v>311</v>
      </c>
      <c r="C70" s="21">
        <v>10531</v>
      </c>
      <c r="D70" s="24" t="s">
        <v>313</v>
      </c>
      <c r="E70" s="21">
        <v>100</v>
      </c>
      <c r="F70" s="21">
        <v>10</v>
      </c>
      <c r="G70" s="23">
        <v>22</v>
      </c>
    </row>
    <row r="71" spans="1:7" x14ac:dyDescent="0.25">
      <c r="A71" s="21" t="s">
        <v>104</v>
      </c>
      <c r="B71" s="21" t="s">
        <v>311</v>
      </c>
      <c r="C71" s="21">
        <v>10532</v>
      </c>
      <c r="D71" s="24" t="s">
        <v>314</v>
      </c>
      <c r="E71" s="21">
        <v>1000</v>
      </c>
      <c r="F71" s="21">
        <v>10</v>
      </c>
      <c r="G71" s="23">
        <v>3</v>
      </c>
    </row>
    <row r="72" spans="1:7" x14ac:dyDescent="0.25">
      <c r="A72" s="21" t="s">
        <v>104</v>
      </c>
      <c r="B72" s="21" t="s">
        <v>143</v>
      </c>
      <c r="C72" s="21">
        <v>10548</v>
      </c>
      <c r="D72" s="24" t="s">
        <v>297</v>
      </c>
      <c r="E72" s="21">
        <v>50</v>
      </c>
      <c r="F72" s="21">
        <v>10</v>
      </c>
      <c r="G72" s="23">
        <v>2</v>
      </c>
    </row>
    <row r="73" spans="1:7" x14ac:dyDescent="0.25">
      <c r="A73" s="21" t="s">
        <v>37</v>
      </c>
      <c r="B73" s="21" t="s">
        <v>155</v>
      </c>
      <c r="C73" s="21">
        <v>10555</v>
      </c>
      <c r="D73" s="24" t="s">
        <v>379</v>
      </c>
      <c r="E73" s="21" t="s">
        <v>380</v>
      </c>
      <c r="F73" s="21">
        <v>1</v>
      </c>
      <c r="G73" s="23">
        <v>30</v>
      </c>
    </row>
    <row r="74" spans="1:7" x14ac:dyDescent="0.25">
      <c r="A74" s="21" t="s">
        <v>345</v>
      </c>
      <c r="B74" s="21" t="s">
        <v>146</v>
      </c>
      <c r="C74" s="21">
        <v>10560</v>
      </c>
      <c r="D74" s="24" t="s">
        <v>348</v>
      </c>
      <c r="E74" s="21" t="s">
        <v>349</v>
      </c>
      <c r="F74" s="21">
        <v>1</v>
      </c>
      <c r="G74" s="23">
        <v>54</v>
      </c>
    </row>
    <row r="75" spans="1:7" x14ac:dyDescent="0.25">
      <c r="A75" s="21" t="s">
        <v>345</v>
      </c>
      <c r="B75" s="21" t="s">
        <v>146</v>
      </c>
      <c r="C75" s="21">
        <v>10561</v>
      </c>
      <c r="D75" s="24" t="s">
        <v>346</v>
      </c>
      <c r="E75" s="21" t="s">
        <v>347</v>
      </c>
      <c r="F75" s="21">
        <v>6</v>
      </c>
      <c r="G75" s="23">
        <v>20</v>
      </c>
    </row>
    <row r="76" spans="1:7" x14ac:dyDescent="0.25">
      <c r="A76" s="21" t="s">
        <v>240</v>
      </c>
      <c r="B76" s="21" t="s">
        <v>96</v>
      </c>
      <c r="C76" s="21">
        <v>10562</v>
      </c>
      <c r="D76" s="24" t="s">
        <v>350</v>
      </c>
      <c r="E76" s="21" t="s">
        <v>290</v>
      </c>
      <c r="F76" s="21">
        <v>6</v>
      </c>
      <c r="G76" s="23">
        <v>673</v>
      </c>
    </row>
    <row r="77" spans="1:7" x14ac:dyDescent="0.25">
      <c r="A77" s="21" t="s">
        <v>118</v>
      </c>
      <c r="B77" s="21" t="s">
        <v>117</v>
      </c>
      <c r="C77" s="21">
        <v>50212</v>
      </c>
      <c r="D77" s="24" t="s">
        <v>382</v>
      </c>
      <c r="E77" s="21">
        <v>1</v>
      </c>
      <c r="F77" s="21">
        <v>12</v>
      </c>
      <c r="G77" s="23">
        <v>9732</v>
      </c>
    </row>
    <row r="78" spans="1:7" x14ac:dyDescent="0.25">
      <c r="A78" s="21" t="s">
        <v>118</v>
      </c>
      <c r="B78" s="21" t="s">
        <v>117</v>
      </c>
      <c r="C78" s="21">
        <v>50213</v>
      </c>
      <c r="D78" s="24" t="s">
        <v>383</v>
      </c>
      <c r="E78" s="21">
        <v>1</v>
      </c>
      <c r="F78" s="21">
        <v>12</v>
      </c>
      <c r="G78" s="23">
        <v>7692</v>
      </c>
    </row>
  </sheetData>
  <autoFilter ref="A1:H78" xr:uid="{AEC17273-00FF-4CB7-AAE1-E5108EB4BC63}"/>
  <sortState xmlns:xlrd2="http://schemas.microsoft.com/office/spreadsheetml/2017/richdata2" ref="A4:G78">
    <sortCondition ref="C3:C78"/>
  </sortState>
  <mergeCells count="7">
    <mergeCell ref="G1:G2"/>
    <mergeCell ref="F1:F2"/>
    <mergeCell ref="A1:A2"/>
    <mergeCell ref="E1:E2"/>
    <mergeCell ref="D1:D2"/>
    <mergeCell ref="B1:B2"/>
    <mergeCell ref="C1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B5E1-7807-4142-8D0E-C0C67E8738E6}">
  <dimension ref="A3:L42"/>
  <sheetViews>
    <sheetView zoomScale="145" zoomScaleNormal="145" workbookViewId="0"/>
  </sheetViews>
  <sheetFormatPr defaultRowHeight="15" x14ac:dyDescent="0.25"/>
  <cols>
    <col min="1" max="1" width="28.7109375" bestFit="1" customWidth="1"/>
    <col min="2" max="2" width="13.140625" bestFit="1" customWidth="1"/>
    <col min="3" max="3" width="15.42578125" bestFit="1" customWidth="1"/>
    <col min="4" max="4" width="24.28515625" bestFit="1" customWidth="1"/>
    <col min="5" max="5" width="6" bestFit="1" customWidth="1"/>
    <col min="6" max="6" width="18.5703125" customWidth="1"/>
    <col min="7" max="7" width="7" bestFit="1" customWidth="1"/>
    <col min="8" max="8" width="28.7109375" bestFit="1" customWidth="1"/>
    <col min="9" max="9" width="16.85546875" bestFit="1" customWidth="1"/>
    <col min="10" max="10" width="10.42578125" bestFit="1" customWidth="1"/>
    <col min="11" max="11" width="11.7109375" bestFit="1" customWidth="1"/>
    <col min="12" max="12" width="16.85546875" bestFit="1" customWidth="1"/>
    <col min="13" max="19" width="7" bestFit="1" customWidth="1"/>
    <col min="20" max="60" width="8" bestFit="1" customWidth="1"/>
    <col min="61" max="61" width="9.5703125" bestFit="1" customWidth="1"/>
    <col min="62" max="67" width="8" bestFit="1" customWidth="1"/>
    <col min="68" max="127" width="9.5703125" bestFit="1" customWidth="1"/>
    <col min="128" max="140" width="10.5703125" bestFit="1" customWidth="1"/>
    <col min="141" max="141" width="7.28515625" bestFit="1" customWidth="1"/>
    <col min="142" max="142" width="11.5703125" bestFit="1" customWidth="1"/>
  </cols>
  <sheetData>
    <row r="3" spans="1:12" ht="20.25" thickBot="1" x14ac:dyDescent="0.35">
      <c r="A3" s="11" t="s">
        <v>172</v>
      </c>
      <c r="B3" t="s">
        <v>529</v>
      </c>
      <c r="C3" t="s">
        <v>528</v>
      </c>
      <c r="D3" t="s">
        <v>402</v>
      </c>
      <c r="H3" s="94" t="s">
        <v>175</v>
      </c>
      <c r="I3" s="94" t="s">
        <v>530</v>
      </c>
      <c r="J3" s="94" t="s">
        <v>531</v>
      </c>
      <c r="K3" s="94" t="s">
        <v>532</v>
      </c>
      <c r="L3" s="94" t="s">
        <v>522</v>
      </c>
    </row>
    <row r="4" spans="1:12" ht="15.75" thickTop="1" x14ac:dyDescent="0.25">
      <c r="A4" s="12" t="s">
        <v>190</v>
      </c>
      <c r="B4" s="36">
        <v>1</v>
      </c>
      <c r="C4" s="36">
        <v>6</v>
      </c>
      <c r="D4" s="36">
        <v>2553</v>
      </c>
      <c r="H4" s="12" t="s">
        <v>338</v>
      </c>
      <c r="I4" s="36">
        <v>6</v>
      </c>
      <c r="J4" s="36">
        <v>6000</v>
      </c>
      <c r="K4" s="36">
        <v>29076</v>
      </c>
      <c r="L4" s="73">
        <f>GETPIVOTDATA("Count of Pack",$A$3,"Supplier","Gem Pack Foods ")*GETPIVOTDATA("Sum of Case Qty",$A$3,"Supplier","Gem Pack Foods ")*GETPIVOTDATA("Sum of Total Volume 2024",$A$3,"Supplier","Gem Pack Foods ")</f>
        <v>1046736000</v>
      </c>
    </row>
    <row r="5" spans="1:12" x14ac:dyDescent="0.25">
      <c r="A5" s="12" t="s">
        <v>192</v>
      </c>
      <c r="B5" s="36">
        <v>3</v>
      </c>
      <c r="C5" s="36">
        <v>150</v>
      </c>
      <c r="D5" s="36">
        <v>6208</v>
      </c>
      <c r="H5" s="12" t="s">
        <v>200</v>
      </c>
      <c r="I5" s="36">
        <v>26</v>
      </c>
      <c r="J5" s="36">
        <v>748</v>
      </c>
      <c r="K5" s="36">
        <v>53297.96</v>
      </c>
      <c r="L5" s="73">
        <f>GETPIVOTDATA("Count of Pack",$A$3,"Supplier","Excellence Ltd")*GETPIVOTDATA("Sum of Case Qty",$A$3,"Supplier","Excellence Ltd")*GETPIVOTDATA("Sum of Total Volume 2024",$A$3,"Supplier","Excellence Ltd")</f>
        <v>1036538726.0799999</v>
      </c>
    </row>
    <row r="6" spans="1:12" x14ac:dyDescent="0.25">
      <c r="A6" s="12" t="s">
        <v>63</v>
      </c>
      <c r="B6" s="36">
        <v>3</v>
      </c>
      <c r="C6" s="36">
        <v>54</v>
      </c>
      <c r="D6" s="36">
        <v>2747</v>
      </c>
      <c r="H6" s="12" t="s">
        <v>58</v>
      </c>
      <c r="I6" s="36">
        <v>25</v>
      </c>
      <c r="J6" s="36">
        <v>670</v>
      </c>
      <c r="K6" s="36">
        <v>23931</v>
      </c>
      <c r="L6" s="73">
        <f>GETPIVOTDATA("Count of Pack",$A$3,"Supplier","Shabra Plastics &amp; Packaging Ltd")*GETPIVOTDATA("Sum of Case Qty",$A$3,"Supplier","Shabra Plastics &amp; Packaging Ltd")*GETPIVOTDATA("Sum of Total Volume 2024",$A$3,"Supplier","Shabra Plastics &amp; Packaging Ltd")</f>
        <v>400844250</v>
      </c>
    </row>
    <row r="7" spans="1:12" x14ac:dyDescent="0.25">
      <c r="A7" s="12" t="s">
        <v>104</v>
      </c>
      <c r="B7" s="36">
        <v>22</v>
      </c>
      <c r="C7" s="36">
        <v>261</v>
      </c>
      <c r="D7" s="36">
        <v>22514</v>
      </c>
      <c r="H7" s="12" t="s">
        <v>104</v>
      </c>
      <c r="I7" s="36">
        <v>22</v>
      </c>
      <c r="J7" s="36">
        <v>261</v>
      </c>
      <c r="K7" s="36">
        <v>22514</v>
      </c>
      <c r="L7" s="73">
        <f>GETPIVOTDATA("Count of Pack",$A$3,"Supplier","Catering Disposables")*GETPIVOTDATA("Sum of Case Qty",$A$3,"Supplier","Catering Disposables")*GETPIVOTDATA("Sum of Total Volume 2024",$A$3,"Supplier","Catering Disposables")</f>
        <v>129275388</v>
      </c>
    </row>
    <row r="8" spans="1:12" x14ac:dyDescent="0.25">
      <c r="A8" s="12" t="s">
        <v>317</v>
      </c>
      <c r="B8" s="36">
        <v>12</v>
      </c>
      <c r="C8" s="36">
        <v>132</v>
      </c>
      <c r="D8" s="36">
        <v>3937</v>
      </c>
      <c r="H8" s="12" t="s">
        <v>277</v>
      </c>
      <c r="I8" s="36">
        <v>10</v>
      </c>
      <c r="J8" s="36">
        <v>138</v>
      </c>
      <c r="K8" s="36">
        <v>22139</v>
      </c>
      <c r="L8" s="73">
        <f>GETPIVOTDATA("Count of Pack",$A$3,"Supplier","Valeo")*GETPIVOTDATA("Sum of Case Qty",$A$3,"Supplier","Valeo")*GETPIVOTDATA("Sum of Total Volume 2024",$A$3,"Supplier","Valeo")</f>
        <v>30551820</v>
      </c>
    </row>
    <row r="9" spans="1:12" x14ac:dyDescent="0.25">
      <c r="A9" s="12" t="s">
        <v>200</v>
      </c>
      <c r="B9" s="36">
        <v>26</v>
      </c>
      <c r="C9" s="36">
        <v>748</v>
      </c>
      <c r="D9" s="36">
        <v>53297.96</v>
      </c>
      <c r="H9" s="12" t="s">
        <v>265</v>
      </c>
      <c r="I9" s="36">
        <v>6</v>
      </c>
      <c r="J9" s="36">
        <v>53</v>
      </c>
      <c r="K9" s="36">
        <v>70232</v>
      </c>
      <c r="L9" s="73">
        <f>GETPIVOTDATA("Count of Pack",$A$3,"Supplier","T&amp;R")*GETPIVOTDATA("Sum of Case Qty",$A$3,"Supplier","T&amp;R")*GETPIVOTDATA("Sum of Total Volume 2024",$A$3,"Supplier","T&amp;R")</f>
        <v>22333776</v>
      </c>
    </row>
    <row r="10" spans="1:12" x14ac:dyDescent="0.25">
      <c r="A10" s="12" t="s">
        <v>338</v>
      </c>
      <c r="B10" s="36">
        <v>6</v>
      </c>
      <c r="C10" s="36">
        <v>6000</v>
      </c>
      <c r="D10" s="36">
        <v>29076</v>
      </c>
      <c r="H10" s="12" t="s">
        <v>118</v>
      </c>
      <c r="I10" s="36">
        <v>4</v>
      </c>
      <c r="J10" s="36">
        <v>48</v>
      </c>
      <c r="K10" s="36">
        <v>49980</v>
      </c>
      <c r="L10" s="73">
        <f>GETPIVOTDATA("Count of Pack",$A$3,"Supplier","Western Plastics")*GETPIVOTDATA("Sum of Case Qty",$A$3,"Supplier","Western Plastics")*GETPIVOTDATA("Sum of Total Volume 2024",$A$3,"Supplier","Western Plastics")</f>
        <v>9596160</v>
      </c>
    </row>
    <row r="11" spans="1:12" x14ac:dyDescent="0.25">
      <c r="A11" s="12" t="s">
        <v>345</v>
      </c>
      <c r="B11" s="36">
        <v>2</v>
      </c>
      <c r="C11" s="36">
        <v>7</v>
      </c>
      <c r="D11" s="36">
        <v>74</v>
      </c>
      <c r="H11" s="12" t="s">
        <v>52</v>
      </c>
      <c r="I11" s="36">
        <v>3</v>
      </c>
      <c r="J11" s="36">
        <v>43</v>
      </c>
      <c r="K11" s="36">
        <v>60527</v>
      </c>
      <c r="L11" s="73">
        <f>GETPIVOTDATA("Count of Pack",$A$3,"Supplier","Standard Brands")*GETPIVOTDATA("Sum of Case Qty",$A$3,"Supplier","Standard Brands")*GETPIVOTDATA("Sum of Total Volume 2024",$A$3,"Supplier","Standard Brands")</f>
        <v>7807983</v>
      </c>
    </row>
    <row r="12" spans="1:12" x14ac:dyDescent="0.25">
      <c r="A12" s="12" t="s">
        <v>232</v>
      </c>
      <c r="B12" s="36">
        <v>5</v>
      </c>
      <c r="C12" s="36">
        <v>57</v>
      </c>
      <c r="D12" s="36">
        <v>9115</v>
      </c>
      <c r="H12" s="12" t="s">
        <v>317</v>
      </c>
      <c r="I12" s="36">
        <v>12</v>
      </c>
      <c r="J12" s="36">
        <v>132</v>
      </c>
      <c r="K12" s="36">
        <v>3937</v>
      </c>
      <c r="L12" s="73">
        <f>GETPIVOTDATA("Count of Pack",$A$3,"Supplier","Essity")*GETPIVOTDATA("Sum of Case Qty",$A$3,"Supplier","Essity")*GETPIVOTDATA("Sum of Total Volume 2024",$A$3,"Supplier","Essity")</f>
        <v>6236208</v>
      </c>
    </row>
    <row r="13" spans="1:12" x14ac:dyDescent="0.25">
      <c r="A13" s="12" t="s">
        <v>240</v>
      </c>
      <c r="B13" s="36">
        <v>2</v>
      </c>
      <c r="C13" s="36">
        <v>26</v>
      </c>
      <c r="D13" s="36">
        <v>4117</v>
      </c>
      <c r="H13" s="12" t="s">
        <v>37</v>
      </c>
      <c r="I13" s="36">
        <v>8</v>
      </c>
      <c r="J13" s="36">
        <v>11</v>
      </c>
      <c r="K13" s="36">
        <v>32688</v>
      </c>
      <c r="L13" s="73">
        <f>GETPIVOTDATA("Count of Pack",$A$3,"Supplier","Valeo Foods")*GETPIVOTDATA("Sum of Case Qty",$A$3,"Supplier","Valeo Foods")*GETPIVOTDATA("Sum of Total Volume 2024",$A$3,"Supplier","Valeo Foods")</f>
        <v>2876544</v>
      </c>
    </row>
    <row r="14" spans="1:12" x14ac:dyDescent="0.25">
      <c r="A14" s="12" t="s">
        <v>67</v>
      </c>
      <c r="B14" s="36">
        <v>3</v>
      </c>
      <c r="C14" s="36">
        <v>36</v>
      </c>
      <c r="D14" s="36">
        <v>4986</v>
      </c>
      <c r="H14" s="12" t="s">
        <v>192</v>
      </c>
      <c r="I14" s="36">
        <v>3</v>
      </c>
      <c r="J14" s="36">
        <v>150</v>
      </c>
      <c r="K14" s="36">
        <v>6208</v>
      </c>
      <c r="L14" s="73">
        <f>GETPIVOTDATA("Count of Pack",$A$3,"Supplier","BIC")*GETPIVOTDATA("Sum of Case Qty",$A$3,"Supplier","BIC")*GETPIVOTDATA("Sum of Total Volume 2024",$A$3,"Supplier","BIC")</f>
        <v>2793600</v>
      </c>
    </row>
    <row r="15" spans="1:12" x14ac:dyDescent="0.25">
      <c r="A15" s="12" t="s">
        <v>137</v>
      </c>
      <c r="B15" s="36">
        <v>1</v>
      </c>
      <c r="C15" s="36">
        <v>1</v>
      </c>
      <c r="D15" s="36">
        <v>2496</v>
      </c>
      <c r="H15" s="12" t="s">
        <v>232</v>
      </c>
      <c r="I15" s="36">
        <v>5</v>
      </c>
      <c r="J15" s="36">
        <v>57</v>
      </c>
      <c r="K15" s="36">
        <v>9115</v>
      </c>
      <c r="L15" s="73">
        <f>GETPIVOTDATA("Count of Pack",$A$3,"Supplier","Irish Dog Foods ")*GETPIVOTDATA("Sum of Case Qty",$A$3,"Supplier","Irish Dog Foods ")*GETPIVOTDATA("Sum of Total Volume 2024",$A$3,"Supplier","Irish Dog Foods ")</f>
        <v>2597775</v>
      </c>
    </row>
    <row r="16" spans="1:12" x14ac:dyDescent="0.25">
      <c r="A16" s="12" t="s">
        <v>58</v>
      </c>
      <c r="B16" s="36">
        <v>25</v>
      </c>
      <c r="C16" s="36">
        <v>670</v>
      </c>
      <c r="D16" s="36">
        <v>23931</v>
      </c>
      <c r="H16" s="12" t="s">
        <v>67</v>
      </c>
      <c r="I16" s="36">
        <v>3</v>
      </c>
      <c r="J16" s="36">
        <v>36</v>
      </c>
      <c r="K16" s="36">
        <v>4986</v>
      </c>
      <c r="L16" s="73">
        <f>GETPIVOTDATA("Count of Pack",$A$3,"Supplier","Mulrines")*GETPIVOTDATA("Sum of Case Qty",$A$3,"Supplier","Mulrines")*GETPIVOTDATA("Sum of Total Volume 2024",$A$3,"Supplier","Mulrines")</f>
        <v>538488</v>
      </c>
    </row>
    <row r="17" spans="1:12" x14ac:dyDescent="0.25">
      <c r="A17" s="12" t="s">
        <v>52</v>
      </c>
      <c r="B17" s="36">
        <v>3</v>
      </c>
      <c r="C17" s="36">
        <v>43</v>
      </c>
      <c r="D17" s="36">
        <v>60527</v>
      </c>
      <c r="H17" s="12" t="s">
        <v>63</v>
      </c>
      <c r="I17" s="36">
        <v>3</v>
      </c>
      <c r="J17" s="36">
        <v>54</v>
      </c>
      <c r="K17" s="36">
        <v>2747</v>
      </c>
      <c r="L17" s="73">
        <f>GETPIVOTDATA("Count of Pack",$A$3,"Supplier","Boyne Valley")*GETPIVOTDATA("Sum of Case Qty",$A$3,"Supplier","Boyne Valley")*GETPIVOTDATA("Sum of Total Volume 2024",$A$3,"Supplier","Boyne Valley")</f>
        <v>445014</v>
      </c>
    </row>
    <row r="18" spans="1:12" x14ac:dyDescent="0.25">
      <c r="A18" s="12" t="s">
        <v>265</v>
      </c>
      <c r="B18" s="36">
        <v>6</v>
      </c>
      <c r="C18" s="36">
        <v>53</v>
      </c>
      <c r="D18" s="36">
        <v>70232</v>
      </c>
      <c r="H18" s="12" t="s">
        <v>240</v>
      </c>
      <c r="I18" s="36">
        <v>2</v>
      </c>
      <c r="J18" s="36">
        <v>26</v>
      </c>
      <c r="K18" s="36">
        <v>4117</v>
      </c>
      <c r="L18" s="73">
        <f>GETPIVOTDATA("Count of Pack",$A$3,"Supplier","JDS Foods")*GETPIVOTDATA("Sum of Case Qty",$A$3,"Supplier","JDS Foods")*GETPIVOTDATA("Sum of Total Volume 2024",$A$3,"Supplier","JDS Foods")</f>
        <v>214084</v>
      </c>
    </row>
    <row r="19" spans="1:12" x14ac:dyDescent="0.25">
      <c r="A19" s="12" t="s">
        <v>277</v>
      </c>
      <c r="B19" s="36">
        <v>10</v>
      </c>
      <c r="C19" s="36">
        <v>138</v>
      </c>
      <c r="D19" s="36">
        <v>22139</v>
      </c>
      <c r="H19" s="12" t="s">
        <v>190</v>
      </c>
      <c r="I19" s="36">
        <v>1</v>
      </c>
      <c r="J19" s="36">
        <v>6</v>
      </c>
      <c r="K19" s="36">
        <v>2553</v>
      </c>
      <c r="L19" s="73">
        <f>GETPIVOTDATA("Count of Pack",$A$3,"Supplier","Barrys Tea")*GETPIVOTDATA("Sum of Case Qty",$A$3,"Supplier","Barrys Tea")*GETPIVOTDATA("Sum of Total Volume 2024",$A$3,"Supplier","Barrys Tea")</f>
        <v>15318</v>
      </c>
    </row>
    <row r="20" spans="1:12" x14ac:dyDescent="0.25">
      <c r="A20" s="12" t="s">
        <v>37</v>
      </c>
      <c r="B20" s="36">
        <v>8</v>
      </c>
      <c r="C20" s="36">
        <v>11</v>
      </c>
      <c r="D20" s="36">
        <v>32688</v>
      </c>
      <c r="H20" s="12" t="s">
        <v>137</v>
      </c>
      <c r="I20" s="36">
        <v>1</v>
      </c>
      <c r="J20" s="36">
        <v>1</v>
      </c>
      <c r="K20" s="36">
        <v>2496</v>
      </c>
      <c r="L20" s="73">
        <f>GETPIVOTDATA("Count of Pack",$A$3,"Supplier","Natures Oil")*GETPIVOTDATA("Sum of Case Qty",$A$3,"Supplier","Natures Oil")*GETPIVOTDATA("Sum of Total Volume 2024",$A$3,"Supplier","Natures Oil")</f>
        <v>2496</v>
      </c>
    </row>
    <row r="21" spans="1:12" x14ac:dyDescent="0.25">
      <c r="A21" s="12" t="s">
        <v>118</v>
      </c>
      <c r="B21" s="36">
        <v>4</v>
      </c>
      <c r="C21" s="36">
        <v>48</v>
      </c>
      <c r="D21" s="36">
        <v>49980</v>
      </c>
      <c r="H21" s="12" t="s">
        <v>345</v>
      </c>
      <c r="I21" s="36">
        <v>2</v>
      </c>
      <c r="J21" s="36">
        <v>7</v>
      </c>
      <c r="K21" s="36">
        <v>74</v>
      </c>
      <c r="L21" s="73">
        <f>GETPIVOTDATA("Count of Pack",$A$3,"Supplier","Healy's Honey Ltd")*GETPIVOTDATA("Sum of Case Qty",$A$3,"Supplier","Healy's Honey Ltd")*GETPIVOTDATA("Sum of Total Volume 2024",$A$3,"Supplier","Healy's Honey Ltd")</f>
        <v>1036</v>
      </c>
    </row>
    <row r="22" spans="1:12" x14ac:dyDescent="0.25">
      <c r="A22" s="12" t="s">
        <v>401</v>
      </c>
    </row>
    <row r="23" spans="1:12" x14ac:dyDescent="0.25">
      <c r="A23" s="12" t="s">
        <v>173</v>
      </c>
      <c r="B23" s="36">
        <v>142</v>
      </c>
      <c r="C23" s="36">
        <v>8441</v>
      </c>
      <c r="D23" s="36">
        <v>400617.95999999996</v>
      </c>
    </row>
    <row r="24" spans="1:12" ht="20.25" thickBot="1" x14ac:dyDescent="0.35">
      <c r="H24" s="94" t="s">
        <v>175</v>
      </c>
      <c r="I24" s="94" t="s">
        <v>522</v>
      </c>
    </row>
    <row r="25" spans="1:12" ht="15.75" thickTop="1" x14ac:dyDescent="0.25">
      <c r="H25" s="12" t="s">
        <v>338</v>
      </c>
      <c r="I25" s="73">
        <v>1046736000</v>
      </c>
    </row>
    <row r="26" spans="1:12" x14ac:dyDescent="0.25">
      <c r="H26" s="12" t="s">
        <v>200</v>
      </c>
      <c r="I26" s="73">
        <v>1036538726.0799999</v>
      </c>
    </row>
    <row r="27" spans="1:12" x14ac:dyDescent="0.25">
      <c r="H27" s="12" t="s">
        <v>58</v>
      </c>
      <c r="I27" s="73">
        <v>400844250</v>
      </c>
    </row>
    <row r="28" spans="1:12" x14ac:dyDescent="0.25">
      <c r="H28" s="12" t="s">
        <v>104</v>
      </c>
      <c r="I28" s="73">
        <v>129275388</v>
      </c>
    </row>
    <row r="29" spans="1:12" x14ac:dyDescent="0.25">
      <c r="H29" s="12" t="s">
        <v>277</v>
      </c>
      <c r="I29" s="73">
        <v>30551820</v>
      </c>
    </row>
    <row r="30" spans="1:12" x14ac:dyDescent="0.25">
      <c r="H30" s="12" t="s">
        <v>265</v>
      </c>
      <c r="I30" s="73">
        <v>22333776</v>
      </c>
    </row>
    <row r="31" spans="1:12" x14ac:dyDescent="0.25">
      <c r="H31" s="12" t="s">
        <v>118</v>
      </c>
      <c r="I31" s="73">
        <v>9596160</v>
      </c>
    </row>
    <row r="32" spans="1:12" x14ac:dyDescent="0.25">
      <c r="H32" s="12" t="s">
        <v>52</v>
      </c>
      <c r="I32" s="73">
        <v>7807983</v>
      </c>
    </row>
    <row r="33" spans="8:9" x14ac:dyDescent="0.25">
      <c r="H33" s="12" t="s">
        <v>317</v>
      </c>
      <c r="I33" s="73">
        <v>6236208</v>
      </c>
    </row>
    <row r="34" spans="8:9" x14ac:dyDescent="0.25">
      <c r="H34" s="12" t="s">
        <v>37</v>
      </c>
      <c r="I34" s="73">
        <v>2876544</v>
      </c>
    </row>
    <row r="35" spans="8:9" x14ac:dyDescent="0.25">
      <c r="H35" s="12" t="s">
        <v>192</v>
      </c>
      <c r="I35" s="73">
        <v>2793600</v>
      </c>
    </row>
    <row r="36" spans="8:9" x14ac:dyDescent="0.25">
      <c r="H36" s="12" t="s">
        <v>232</v>
      </c>
      <c r="I36" s="73">
        <v>2597775</v>
      </c>
    </row>
    <row r="37" spans="8:9" x14ac:dyDescent="0.25">
      <c r="H37" s="12" t="s">
        <v>67</v>
      </c>
      <c r="I37" s="73">
        <v>538488</v>
      </c>
    </row>
    <row r="38" spans="8:9" x14ac:dyDescent="0.25">
      <c r="H38" s="12" t="s">
        <v>63</v>
      </c>
      <c r="I38" s="73">
        <v>445014</v>
      </c>
    </row>
    <row r="39" spans="8:9" x14ac:dyDescent="0.25">
      <c r="H39" s="12" t="s">
        <v>240</v>
      </c>
      <c r="I39" s="73">
        <v>214084</v>
      </c>
    </row>
    <row r="40" spans="8:9" x14ac:dyDescent="0.25">
      <c r="H40" s="12" t="s">
        <v>190</v>
      </c>
      <c r="I40" s="73">
        <v>15318</v>
      </c>
    </row>
    <row r="41" spans="8:9" x14ac:dyDescent="0.25">
      <c r="H41" s="12" t="s">
        <v>137</v>
      </c>
      <c r="I41" s="73">
        <v>2496</v>
      </c>
    </row>
    <row r="42" spans="8:9" x14ac:dyDescent="0.25">
      <c r="H42" s="12" t="s">
        <v>345</v>
      </c>
      <c r="I42" s="73">
        <v>1036</v>
      </c>
    </row>
  </sheetData>
  <sortState xmlns:xlrd2="http://schemas.microsoft.com/office/spreadsheetml/2017/richdata2" ref="H4:L21">
    <sortCondition descending="1" ref="L4:L21"/>
  </sortState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7CE2-6748-45E7-B6D2-6A81244D4710}">
  <dimension ref="A1:J147"/>
  <sheetViews>
    <sheetView zoomScale="160" zoomScaleNormal="160" workbookViewId="0">
      <selection sqref="A1:A2"/>
    </sheetView>
  </sheetViews>
  <sheetFormatPr defaultColWidth="24.140625" defaultRowHeight="15" x14ac:dyDescent="0.25"/>
  <cols>
    <col min="1" max="1" width="32.7109375" customWidth="1"/>
    <col min="4" max="4" width="51.42578125" bestFit="1" customWidth="1"/>
  </cols>
  <sheetData>
    <row r="1" spans="1:10" x14ac:dyDescent="0.25">
      <c r="A1" s="157" t="s">
        <v>175</v>
      </c>
      <c r="B1" s="157" t="s">
        <v>2</v>
      </c>
      <c r="C1" s="157" t="s">
        <v>0</v>
      </c>
      <c r="D1" s="159" t="s">
        <v>384</v>
      </c>
      <c r="E1" s="156" t="s">
        <v>549</v>
      </c>
      <c r="F1" s="156" t="s">
        <v>187</v>
      </c>
      <c r="G1" s="156" t="s">
        <v>188</v>
      </c>
      <c r="H1" s="156" t="s">
        <v>293</v>
      </c>
      <c r="I1" s="156" t="s">
        <v>550</v>
      </c>
    </row>
    <row r="2" spans="1:10" x14ac:dyDescent="0.25">
      <c r="A2" s="158"/>
      <c r="B2" s="158"/>
      <c r="C2" s="158"/>
      <c r="D2" s="159"/>
      <c r="E2" s="156"/>
      <c r="F2" s="156"/>
      <c r="G2" s="156"/>
      <c r="H2" s="156"/>
      <c r="I2" s="156"/>
    </row>
    <row r="3" spans="1:10" x14ac:dyDescent="0.25">
      <c r="A3" s="15" t="s">
        <v>52</v>
      </c>
      <c r="B3" s="15" t="s">
        <v>261</v>
      </c>
      <c r="C3" s="15">
        <v>10599</v>
      </c>
      <c r="D3" s="18" t="s">
        <v>51</v>
      </c>
      <c r="E3" s="15">
        <v>700</v>
      </c>
      <c r="F3" s="15" t="s">
        <v>24</v>
      </c>
      <c r="G3" s="15">
        <v>15</v>
      </c>
      <c r="H3" s="17">
        <v>22080</v>
      </c>
      <c r="I3" s="113">
        <f t="shared" ref="I3:I34" si="0">E3*G3*H3</f>
        <v>231840000</v>
      </c>
    </row>
    <row r="4" spans="1:10" x14ac:dyDescent="0.25">
      <c r="A4" s="120" t="s">
        <v>277</v>
      </c>
      <c r="B4" s="120" t="s">
        <v>207</v>
      </c>
      <c r="C4" s="120">
        <v>10231</v>
      </c>
      <c r="D4" s="19" t="s">
        <v>278</v>
      </c>
      <c r="E4" s="120">
        <v>420</v>
      </c>
      <c r="F4" s="120" t="s">
        <v>24</v>
      </c>
      <c r="G4" s="120">
        <v>24</v>
      </c>
      <c r="H4" s="121">
        <v>4283</v>
      </c>
      <c r="I4" s="113">
        <f t="shared" si="0"/>
        <v>43172640</v>
      </c>
    </row>
    <row r="5" spans="1:10" x14ac:dyDescent="0.25">
      <c r="A5" s="15" t="s">
        <v>277</v>
      </c>
      <c r="B5" s="15" t="s">
        <v>207</v>
      </c>
      <c r="C5" s="15">
        <v>10232</v>
      </c>
      <c r="D5" s="18" t="s">
        <v>280</v>
      </c>
      <c r="E5" s="15">
        <v>420</v>
      </c>
      <c r="F5" s="15" t="s">
        <v>24</v>
      </c>
      <c r="G5" s="15">
        <v>24</v>
      </c>
      <c r="H5" s="17">
        <v>2119</v>
      </c>
      <c r="I5" s="113">
        <f t="shared" si="0"/>
        <v>21359520</v>
      </c>
    </row>
    <row r="6" spans="1:10" x14ac:dyDescent="0.25">
      <c r="A6" s="15" t="s">
        <v>200</v>
      </c>
      <c r="B6" s="15" t="s">
        <v>207</v>
      </c>
      <c r="C6" s="15">
        <v>1090</v>
      </c>
      <c r="D6" s="18" t="s">
        <v>222</v>
      </c>
      <c r="E6" s="15">
        <v>326</v>
      </c>
      <c r="F6" s="15" t="s">
        <v>24</v>
      </c>
      <c r="G6" s="15">
        <v>12</v>
      </c>
      <c r="H6" s="17">
        <v>4716</v>
      </c>
      <c r="I6" s="113">
        <f t="shared" si="0"/>
        <v>18448992</v>
      </c>
    </row>
    <row r="7" spans="1:10" x14ac:dyDescent="0.25">
      <c r="A7" s="15" t="s">
        <v>240</v>
      </c>
      <c r="B7" s="15" t="s">
        <v>96</v>
      </c>
      <c r="C7" s="15">
        <v>10593</v>
      </c>
      <c r="D7" s="18" t="s">
        <v>241</v>
      </c>
      <c r="E7" s="15">
        <v>250</v>
      </c>
      <c r="F7" s="15" t="s">
        <v>24</v>
      </c>
      <c r="G7" s="15">
        <v>20</v>
      </c>
      <c r="H7" s="17">
        <v>3444</v>
      </c>
      <c r="I7" s="113">
        <f t="shared" si="0"/>
        <v>17220000</v>
      </c>
    </row>
    <row r="8" spans="1:10" x14ac:dyDescent="0.25">
      <c r="A8" s="15" t="s">
        <v>52</v>
      </c>
      <c r="B8" s="15" t="s">
        <v>261</v>
      </c>
      <c r="C8" s="15">
        <v>10605</v>
      </c>
      <c r="D8" s="18" t="s">
        <v>262</v>
      </c>
      <c r="E8" s="15">
        <v>60</v>
      </c>
      <c r="F8" s="15"/>
      <c r="G8" s="15">
        <v>12</v>
      </c>
      <c r="H8" s="17">
        <v>21796</v>
      </c>
      <c r="I8" s="113">
        <f t="shared" si="0"/>
        <v>15693120</v>
      </c>
    </row>
    <row r="9" spans="1:10" x14ac:dyDescent="0.25">
      <c r="A9" s="15" t="s">
        <v>200</v>
      </c>
      <c r="B9" s="15" t="s">
        <v>207</v>
      </c>
      <c r="C9" s="15">
        <v>1155</v>
      </c>
      <c r="D9" s="18" t="s">
        <v>210</v>
      </c>
      <c r="E9" s="15">
        <v>400</v>
      </c>
      <c r="F9" s="15" t="s">
        <v>24</v>
      </c>
      <c r="G9" s="15">
        <v>12</v>
      </c>
      <c r="H9" s="17">
        <v>3149</v>
      </c>
      <c r="I9" s="113">
        <f t="shared" si="0"/>
        <v>15115200</v>
      </c>
    </row>
    <row r="10" spans="1:10" x14ac:dyDescent="0.25">
      <c r="A10" s="21" t="s">
        <v>200</v>
      </c>
      <c r="B10" s="21" t="s">
        <v>146</v>
      </c>
      <c r="C10" s="21">
        <v>10376</v>
      </c>
      <c r="D10" s="22" t="s">
        <v>331</v>
      </c>
      <c r="E10" s="21">
        <v>20</v>
      </c>
      <c r="F10" s="21"/>
      <c r="G10" s="21">
        <v>96</v>
      </c>
      <c r="H10" s="23">
        <v>7254.96</v>
      </c>
      <c r="I10" s="113">
        <f t="shared" si="0"/>
        <v>13929523.199999999</v>
      </c>
    </row>
    <row r="11" spans="1:10" x14ac:dyDescent="0.25">
      <c r="A11" s="21" t="s">
        <v>104</v>
      </c>
      <c r="B11" s="21" t="s">
        <v>117</v>
      </c>
      <c r="C11" s="21">
        <v>2305</v>
      </c>
      <c r="D11" s="24" t="s">
        <v>309</v>
      </c>
      <c r="E11" s="21">
        <v>100</v>
      </c>
      <c r="F11" s="21"/>
      <c r="G11" s="21">
        <v>10</v>
      </c>
      <c r="H11" s="23">
        <v>13442</v>
      </c>
      <c r="I11" s="113">
        <f t="shared" si="0"/>
        <v>13442000</v>
      </c>
      <c r="J11" s="36">
        <f>SUM(I3:I11)</f>
        <v>390220995.19999999</v>
      </c>
    </row>
    <row r="12" spans="1:10" x14ac:dyDescent="0.25">
      <c r="A12" s="21" t="s">
        <v>200</v>
      </c>
      <c r="B12" s="21" t="s">
        <v>146</v>
      </c>
      <c r="C12" s="21">
        <v>10379</v>
      </c>
      <c r="D12" s="24" t="s">
        <v>332</v>
      </c>
      <c r="E12" s="21">
        <v>20</v>
      </c>
      <c r="F12" s="21"/>
      <c r="G12" s="21">
        <v>96</v>
      </c>
      <c r="H12" s="23">
        <v>5917</v>
      </c>
      <c r="I12" s="113">
        <f t="shared" si="0"/>
        <v>11360640</v>
      </c>
      <c r="J12" s="97">
        <f>J11/I146</f>
        <v>0.63102875523755642</v>
      </c>
    </row>
    <row r="13" spans="1:10" x14ac:dyDescent="0.25">
      <c r="A13" s="15" t="s">
        <v>200</v>
      </c>
      <c r="B13" s="15" t="s">
        <v>201</v>
      </c>
      <c r="C13" s="15">
        <v>1140</v>
      </c>
      <c r="D13" s="18" t="s">
        <v>202</v>
      </c>
      <c r="E13" s="15">
        <v>425</v>
      </c>
      <c r="F13" s="15" t="s">
        <v>24</v>
      </c>
      <c r="G13" s="15">
        <v>12</v>
      </c>
      <c r="H13" s="17">
        <v>2194</v>
      </c>
      <c r="I13" s="73">
        <f t="shared" si="0"/>
        <v>11189400</v>
      </c>
    </row>
    <row r="14" spans="1:10" x14ac:dyDescent="0.25">
      <c r="A14" s="15" t="s">
        <v>200</v>
      </c>
      <c r="B14" s="15" t="s">
        <v>218</v>
      </c>
      <c r="C14" s="15">
        <v>10010</v>
      </c>
      <c r="D14" s="18" t="s">
        <v>224</v>
      </c>
      <c r="E14" s="15">
        <v>430</v>
      </c>
      <c r="F14" s="15" t="s">
        <v>24</v>
      </c>
      <c r="G14" s="15">
        <v>12</v>
      </c>
      <c r="H14" s="17">
        <v>2063</v>
      </c>
      <c r="I14" s="73">
        <f t="shared" si="0"/>
        <v>10645080</v>
      </c>
    </row>
    <row r="15" spans="1:10" x14ac:dyDescent="0.25">
      <c r="A15" s="21" t="s">
        <v>338</v>
      </c>
      <c r="B15" s="21" t="s">
        <v>157</v>
      </c>
      <c r="C15" s="21">
        <v>2460</v>
      </c>
      <c r="D15" s="24" t="s">
        <v>339</v>
      </c>
      <c r="E15" s="21">
        <v>1</v>
      </c>
      <c r="F15" s="21"/>
      <c r="G15" s="21">
        <v>1000</v>
      </c>
      <c r="H15" s="23">
        <v>10642</v>
      </c>
      <c r="I15" s="73">
        <f t="shared" si="0"/>
        <v>10642000</v>
      </c>
    </row>
    <row r="16" spans="1:10" x14ac:dyDescent="0.25">
      <c r="A16" s="15" t="s">
        <v>277</v>
      </c>
      <c r="B16" s="15" t="s">
        <v>281</v>
      </c>
      <c r="C16" s="15">
        <v>10026</v>
      </c>
      <c r="D16" s="18" t="s">
        <v>285</v>
      </c>
      <c r="E16" s="15">
        <v>500</v>
      </c>
      <c r="F16" s="15" t="s">
        <v>24</v>
      </c>
      <c r="G16" s="15">
        <v>12</v>
      </c>
      <c r="H16" s="17">
        <v>1666</v>
      </c>
      <c r="I16" s="73">
        <f t="shared" si="0"/>
        <v>9996000</v>
      </c>
    </row>
    <row r="17" spans="1:9" x14ac:dyDescent="0.25">
      <c r="A17" s="15" t="s">
        <v>200</v>
      </c>
      <c r="B17" s="15" t="s">
        <v>218</v>
      </c>
      <c r="C17" s="15">
        <v>10014</v>
      </c>
      <c r="D17" s="18" t="s">
        <v>228</v>
      </c>
      <c r="E17" s="15">
        <v>430</v>
      </c>
      <c r="F17" s="15" t="s">
        <v>24</v>
      </c>
      <c r="G17" s="15">
        <v>12</v>
      </c>
      <c r="H17" s="17">
        <v>1923</v>
      </c>
      <c r="I17" s="73">
        <f t="shared" si="0"/>
        <v>9922680</v>
      </c>
    </row>
    <row r="18" spans="1:9" x14ac:dyDescent="0.25">
      <c r="A18" s="15" t="s">
        <v>200</v>
      </c>
      <c r="B18" s="15" t="s">
        <v>207</v>
      </c>
      <c r="C18" s="15">
        <v>10524</v>
      </c>
      <c r="D18" s="18" t="s">
        <v>221</v>
      </c>
      <c r="E18" s="15">
        <v>400</v>
      </c>
      <c r="F18" s="15" t="s">
        <v>24</v>
      </c>
      <c r="G18" s="15">
        <v>12</v>
      </c>
      <c r="H18" s="17">
        <v>2030</v>
      </c>
      <c r="I18" s="73">
        <f t="shared" si="0"/>
        <v>9744000</v>
      </c>
    </row>
    <row r="19" spans="1:9" x14ac:dyDescent="0.25">
      <c r="A19" s="15" t="s">
        <v>277</v>
      </c>
      <c r="B19" s="15" t="s">
        <v>281</v>
      </c>
      <c r="C19" s="15">
        <v>10027</v>
      </c>
      <c r="D19" s="18" t="s">
        <v>284</v>
      </c>
      <c r="E19" s="15">
        <v>500</v>
      </c>
      <c r="F19" s="15" t="s">
        <v>24</v>
      </c>
      <c r="G19" s="15">
        <v>12</v>
      </c>
      <c r="H19" s="17">
        <v>1555</v>
      </c>
      <c r="I19" s="73">
        <f t="shared" si="0"/>
        <v>9330000</v>
      </c>
    </row>
    <row r="20" spans="1:9" x14ac:dyDescent="0.25">
      <c r="A20" s="15" t="s">
        <v>200</v>
      </c>
      <c r="B20" s="15" t="s">
        <v>207</v>
      </c>
      <c r="C20" s="15">
        <v>1165</v>
      </c>
      <c r="D20" s="18" t="s">
        <v>211</v>
      </c>
      <c r="E20" s="15">
        <v>400</v>
      </c>
      <c r="F20" s="15" t="s">
        <v>24</v>
      </c>
      <c r="G20" s="15">
        <v>12</v>
      </c>
      <c r="H20" s="17">
        <v>1938</v>
      </c>
      <c r="I20" s="73">
        <f t="shared" si="0"/>
        <v>9302400</v>
      </c>
    </row>
    <row r="21" spans="1:9" x14ac:dyDescent="0.25">
      <c r="A21" s="15" t="s">
        <v>200</v>
      </c>
      <c r="B21" s="15" t="s">
        <v>201</v>
      </c>
      <c r="C21" s="15">
        <v>1055</v>
      </c>
      <c r="D21" s="18" t="s">
        <v>212</v>
      </c>
      <c r="E21" s="15">
        <v>425</v>
      </c>
      <c r="F21" s="15" t="s">
        <v>24</v>
      </c>
      <c r="G21" s="15">
        <v>12</v>
      </c>
      <c r="H21" s="17">
        <v>1782</v>
      </c>
      <c r="I21" s="73">
        <f t="shared" si="0"/>
        <v>9088200</v>
      </c>
    </row>
    <row r="22" spans="1:9" x14ac:dyDescent="0.25">
      <c r="A22" s="15" t="s">
        <v>265</v>
      </c>
      <c r="B22" s="15" t="s">
        <v>266</v>
      </c>
      <c r="C22" s="15">
        <v>10587</v>
      </c>
      <c r="D22" s="18" t="s">
        <v>275</v>
      </c>
      <c r="E22" s="15">
        <v>100</v>
      </c>
      <c r="F22" s="15"/>
      <c r="G22" s="15">
        <v>16</v>
      </c>
      <c r="H22" s="17">
        <v>5278</v>
      </c>
      <c r="I22" s="73">
        <f t="shared" si="0"/>
        <v>8444800</v>
      </c>
    </row>
    <row r="23" spans="1:9" x14ac:dyDescent="0.25">
      <c r="A23" s="15" t="s">
        <v>52</v>
      </c>
      <c r="B23" s="15" t="s">
        <v>261</v>
      </c>
      <c r="C23" s="15">
        <v>10604</v>
      </c>
      <c r="D23" s="18" t="s">
        <v>263</v>
      </c>
      <c r="E23" s="15">
        <v>30</v>
      </c>
      <c r="F23" s="15"/>
      <c r="G23" s="15">
        <v>16</v>
      </c>
      <c r="H23" s="17">
        <v>16651</v>
      </c>
      <c r="I23" s="73">
        <f t="shared" si="0"/>
        <v>7992480</v>
      </c>
    </row>
    <row r="24" spans="1:9" x14ac:dyDescent="0.25">
      <c r="A24" s="15" t="s">
        <v>277</v>
      </c>
      <c r="B24" s="15" t="s">
        <v>281</v>
      </c>
      <c r="C24" s="15">
        <v>10028</v>
      </c>
      <c r="D24" s="18" t="s">
        <v>282</v>
      </c>
      <c r="E24" s="15">
        <v>500</v>
      </c>
      <c r="F24" s="15" t="s">
        <v>24</v>
      </c>
      <c r="G24" s="15">
        <v>12</v>
      </c>
      <c r="H24" s="17">
        <v>1310</v>
      </c>
      <c r="I24" s="73">
        <f t="shared" si="0"/>
        <v>7860000</v>
      </c>
    </row>
    <row r="25" spans="1:9" x14ac:dyDescent="0.25">
      <c r="A25" s="21" t="s">
        <v>200</v>
      </c>
      <c r="B25" s="21" t="s">
        <v>146</v>
      </c>
      <c r="C25" s="21">
        <v>10385</v>
      </c>
      <c r="D25" s="24" t="s">
        <v>335</v>
      </c>
      <c r="E25" s="21">
        <v>20</v>
      </c>
      <c r="F25" s="21"/>
      <c r="G25" s="21">
        <v>96</v>
      </c>
      <c r="H25" s="23">
        <v>4019</v>
      </c>
      <c r="I25" s="73">
        <f t="shared" si="0"/>
        <v>7716480</v>
      </c>
    </row>
    <row r="26" spans="1:9" x14ac:dyDescent="0.25">
      <c r="A26" s="15" t="s">
        <v>200</v>
      </c>
      <c r="B26" s="15" t="s">
        <v>229</v>
      </c>
      <c r="C26" s="15">
        <v>5535</v>
      </c>
      <c r="D26" s="18" t="s">
        <v>230</v>
      </c>
      <c r="E26" s="15">
        <v>185</v>
      </c>
      <c r="F26" s="15" t="s">
        <v>24</v>
      </c>
      <c r="G26" s="15">
        <v>48</v>
      </c>
      <c r="H26" s="17">
        <v>865</v>
      </c>
      <c r="I26" s="73">
        <f t="shared" si="0"/>
        <v>7681200</v>
      </c>
    </row>
    <row r="27" spans="1:9" x14ac:dyDescent="0.25">
      <c r="A27" s="21" t="s">
        <v>200</v>
      </c>
      <c r="B27" s="21" t="s">
        <v>146</v>
      </c>
      <c r="C27" s="21">
        <v>10377</v>
      </c>
      <c r="D27" s="24" t="s">
        <v>336</v>
      </c>
      <c r="E27" s="21">
        <v>20</v>
      </c>
      <c r="F27" s="21"/>
      <c r="G27" s="21">
        <v>96</v>
      </c>
      <c r="H27" s="23">
        <v>3944</v>
      </c>
      <c r="I27" s="73">
        <f t="shared" si="0"/>
        <v>7572480</v>
      </c>
    </row>
    <row r="28" spans="1:9" x14ac:dyDescent="0.25">
      <c r="A28" s="15" t="s">
        <v>200</v>
      </c>
      <c r="B28" s="15" t="s">
        <v>201</v>
      </c>
      <c r="C28" s="15">
        <v>1145</v>
      </c>
      <c r="D28" s="18" t="s">
        <v>204</v>
      </c>
      <c r="E28" s="15">
        <v>410</v>
      </c>
      <c r="F28" s="15" t="s">
        <v>24</v>
      </c>
      <c r="G28" s="15">
        <v>12</v>
      </c>
      <c r="H28" s="17">
        <v>1321</v>
      </c>
      <c r="I28" s="73">
        <f t="shared" si="0"/>
        <v>6499320</v>
      </c>
    </row>
    <row r="29" spans="1:9" x14ac:dyDescent="0.25">
      <c r="A29" s="21" t="s">
        <v>338</v>
      </c>
      <c r="B29" s="21" t="s">
        <v>157</v>
      </c>
      <c r="C29" s="21">
        <v>2470</v>
      </c>
      <c r="D29" s="24" t="s">
        <v>340</v>
      </c>
      <c r="E29" s="21">
        <v>1</v>
      </c>
      <c r="F29" s="21"/>
      <c r="G29" s="21">
        <v>1000</v>
      </c>
      <c r="H29" s="23">
        <v>5408</v>
      </c>
      <c r="I29" s="73">
        <f t="shared" si="0"/>
        <v>5408000</v>
      </c>
    </row>
    <row r="30" spans="1:9" x14ac:dyDescent="0.25">
      <c r="A30" s="21" t="s">
        <v>338</v>
      </c>
      <c r="B30" s="21" t="s">
        <v>157</v>
      </c>
      <c r="C30" s="21">
        <v>2480</v>
      </c>
      <c r="D30" s="24" t="s">
        <v>343</v>
      </c>
      <c r="E30" s="21">
        <v>1</v>
      </c>
      <c r="F30" s="21"/>
      <c r="G30" s="21">
        <v>1000</v>
      </c>
      <c r="H30" s="23">
        <v>5209</v>
      </c>
      <c r="I30" s="73">
        <f t="shared" si="0"/>
        <v>5209000</v>
      </c>
    </row>
    <row r="31" spans="1:9" x14ac:dyDescent="0.25">
      <c r="A31" s="15" t="s">
        <v>200</v>
      </c>
      <c r="B31" s="15" t="s">
        <v>218</v>
      </c>
      <c r="C31" s="15">
        <v>10011</v>
      </c>
      <c r="D31" s="18" t="s">
        <v>226</v>
      </c>
      <c r="E31" s="15">
        <v>430</v>
      </c>
      <c r="F31" s="15" t="s">
        <v>24</v>
      </c>
      <c r="G31" s="15">
        <v>12</v>
      </c>
      <c r="H31" s="17">
        <v>915</v>
      </c>
      <c r="I31" s="73">
        <f t="shared" si="0"/>
        <v>4721400</v>
      </c>
    </row>
    <row r="32" spans="1:9" x14ac:dyDescent="0.25">
      <c r="A32" s="15" t="s">
        <v>200</v>
      </c>
      <c r="B32" s="15" t="s">
        <v>201</v>
      </c>
      <c r="C32" s="15">
        <v>1150</v>
      </c>
      <c r="D32" s="18" t="s">
        <v>206</v>
      </c>
      <c r="E32" s="15">
        <v>425</v>
      </c>
      <c r="F32" s="15" t="s">
        <v>24</v>
      </c>
      <c r="G32" s="15">
        <v>12</v>
      </c>
      <c r="H32" s="17">
        <v>766</v>
      </c>
      <c r="I32" s="73">
        <f t="shared" si="0"/>
        <v>3906600</v>
      </c>
    </row>
    <row r="33" spans="1:9" x14ac:dyDescent="0.25">
      <c r="A33" s="21" t="s">
        <v>338</v>
      </c>
      <c r="B33" s="21" t="s">
        <v>157</v>
      </c>
      <c r="C33" s="21">
        <v>2475</v>
      </c>
      <c r="D33" s="24" t="s">
        <v>342</v>
      </c>
      <c r="E33" s="21">
        <v>1</v>
      </c>
      <c r="F33" s="21"/>
      <c r="G33" s="21">
        <v>1000</v>
      </c>
      <c r="H33" s="23">
        <v>3722</v>
      </c>
      <c r="I33" s="73">
        <f t="shared" si="0"/>
        <v>3722000</v>
      </c>
    </row>
    <row r="34" spans="1:9" x14ac:dyDescent="0.25">
      <c r="A34" s="21" t="s">
        <v>317</v>
      </c>
      <c r="B34" s="21" t="s">
        <v>318</v>
      </c>
      <c r="C34" s="21">
        <v>2335</v>
      </c>
      <c r="D34" s="24" t="s">
        <v>324</v>
      </c>
      <c r="E34" s="21">
        <v>200</v>
      </c>
      <c r="F34" s="21"/>
      <c r="G34" s="21">
        <v>10</v>
      </c>
      <c r="H34" s="23">
        <v>1827</v>
      </c>
      <c r="I34" s="73">
        <f t="shared" si="0"/>
        <v>3654000</v>
      </c>
    </row>
    <row r="35" spans="1:9" x14ac:dyDescent="0.25">
      <c r="A35" s="21" t="s">
        <v>104</v>
      </c>
      <c r="B35" s="21" t="s">
        <v>117</v>
      </c>
      <c r="C35" s="21">
        <v>2075</v>
      </c>
      <c r="D35" s="24" t="s">
        <v>307</v>
      </c>
      <c r="E35" s="21">
        <v>100</v>
      </c>
      <c r="F35" s="21"/>
      <c r="G35" s="21">
        <v>10</v>
      </c>
      <c r="H35" s="23">
        <v>2687</v>
      </c>
      <c r="I35" s="73">
        <f t="shared" ref="I35:I66" si="1">E35*G35*H35</f>
        <v>2687000</v>
      </c>
    </row>
    <row r="36" spans="1:9" x14ac:dyDescent="0.25">
      <c r="A36" s="15" t="s">
        <v>200</v>
      </c>
      <c r="B36" s="15" t="s">
        <v>218</v>
      </c>
      <c r="C36" s="15">
        <v>10012</v>
      </c>
      <c r="D36" s="18" t="s">
        <v>227</v>
      </c>
      <c r="E36" s="15">
        <v>430</v>
      </c>
      <c r="F36" s="15" t="s">
        <v>24</v>
      </c>
      <c r="G36" s="15">
        <v>12</v>
      </c>
      <c r="H36" s="17">
        <v>519</v>
      </c>
      <c r="I36" s="73">
        <f t="shared" si="1"/>
        <v>2678040</v>
      </c>
    </row>
    <row r="37" spans="1:9" x14ac:dyDescent="0.25">
      <c r="A37" s="21" t="s">
        <v>338</v>
      </c>
      <c r="B37" s="21" t="s">
        <v>157</v>
      </c>
      <c r="C37" s="21">
        <v>2465</v>
      </c>
      <c r="D37" s="24" t="s">
        <v>341</v>
      </c>
      <c r="E37" s="21">
        <v>1</v>
      </c>
      <c r="F37" s="21"/>
      <c r="G37" s="21">
        <v>1000</v>
      </c>
      <c r="H37" s="23">
        <v>2666</v>
      </c>
      <c r="I37" s="73">
        <f t="shared" si="1"/>
        <v>2666000</v>
      </c>
    </row>
    <row r="38" spans="1:9" x14ac:dyDescent="0.25">
      <c r="A38" s="15" t="s">
        <v>232</v>
      </c>
      <c r="B38" s="15" t="s">
        <v>82</v>
      </c>
      <c r="C38" s="15">
        <v>1190</v>
      </c>
      <c r="D38" s="18" t="s">
        <v>238</v>
      </c>
      <c r="E38" s="15">
        <v>400</v>
      </c>
      <c r="F38" s="15" t="s">
        <v>24</v>
      </c>
      <c r="G38" s="15">
        <v>24</v>
      </c>
      <c r="H38" s="17">
        <v>274</v>
      </c>
      <c r="I38" s="73">
        <f t="shared" si="1"/>
        <v>2630400</v>
      </c>
    </row>
    <row r="39" spans="1:9" x14ac:dyDescent="0.25">
      <c r="A39" s="15" t="s">
        <v>200</v>
      </c>
      <c r="B39" s="15" t="s">
        <v>218</v>
      </c>
      <c r="C39" s="15">
        <v>10274</v>
      </c>
      <c r="D39" s="18" t="s">
        <v>219</v>
      </c>
      <c r="E39" s="15">
        <v>340</v>
      </c>
      <c r="F39" s="15" t="s">
        <v>24</v>
      </c>
      <c r="G39" s="15">
        <v>12</v>
      </c>
      <c r="H39" s="17">
        <v>561</v>
      </c>
      <c r="I39" s="73">
        <f t="shared" si="1"/>
        <v>2288880</v>
      </c>
    </row>
    <row r="40" spans="1:9" x14ac:dyDescent="0.25">
      <c r="A40" s="15" t="s">
        <v>58</v>
      </c>
      <c r="B40" s="15" t="s">
        <v>57</v>
      </c>
      <c r="C40" s="15">
        <v>10481</v>
      </c>
      <c r="D40" s="18" t="s">
        <v>255</v>
      </c>
      <c r="E40" s="15">
        <v>50</v>
      </c>
      <c r="F40" s="15"/>
      <c r="G40" s="15">
        <v>40</v>
      </c>
      <c r="H40" s="17">
        <v>1117</v>
      </c>
      <c r="I40" s="73">
        <f t="shared" si="1"/>
        <v>2234000</v>
      </c>
    </row>
    <row r="41" spans="1:9" x14ac:dyDescent="0.25">
      <c r="A41" s="21" t="s">
        <v>104</v>
      </c>
      <c r="B41" s="21" t="s">
        <v>103</v>
      </c>
      <c r="C41" s="21">
        <v>10520</v>
      </c>
      <c r="D41" s="24" t="s">
        <v>315</v>
      </c>
      <c r="E41" s="21">
        <v>100</v>
      </c>
      <c r="F41" s="21"/>
      <c r="G41" s="21">
        <v>10</v>
      </c>
      <c r="H41" s="23">
        <v>2226</v>
      </c>
      <c r="I41" s="73">
        <f t="shared" si="1"/>
        <v>2226000</v>
      </c>
    </row>
    <row r="42" spans="1:9" x14ac:dyDescent="0.25">
      <c r="A42" s="21" t="s">
        <v>200</v>
      </c>
      <c r="B42" s="21" t="s">
        <v>146</v>
      </c>
      <c r="C42" s="21">
        <v>10378</v>
      </c>
      <c r="D42" s="24" t="s">
        <v>337</v>
      </c>
      <c r="E42" s="21">
        <v>20</v>
      </c>
      <c r="F42" s="21"/>
      <c r="G42" s="21">
        <v>96</v>
      </c>
      <c r="H42" s="23">
        <v>1021</v>
      </c>
      <c r="I42" s="73">
        <f t="shared" si="1"/>
        <v>1960320</v>
      </c>
    </row>
    <row r="43" spans="1:9" x14ac:dyDescent="0.25">
      <c r="A43" s="15" t="s">
        <v>200</v>
      </c>
      <c r="B43" s="15" t="s">
        <v>207</v>
      </c>
      <c r="C43" s="15">
        <v>10404</v>
      </c>
      <c r="D43" s="18" t="s">
        <v>220</v>
      </c>
      <c r="E43" s="15">
        <v>340</v>
      </c>
      <c r="F43" s="15" t="s">
        <v>24</v>
      </c>
      <c r="G43" s="15">
        <v>12</v>
      </c>
      <c r="H43" s="17">
        <v>392</v>
      </c>
      <c r="I43" s="73">
        <f t="shared" si="1"/>
        <v>1599360</v>
      </c>
    </row>
    <row r="44" spans="1:9" x14ac:dyDescent="0.25">
      <c r="A44" s="15" t="s">
        <v>200</v>
      </c>
      <c r="B44" s="15" t="s">
        <v>207</v>
      </c>
      <c r="C44" s="15">
        <v>10404</v>
      </c>
      <c r="D44" s="18" t="s">
        <v>213</v>
      </c>
      <c r="E44" s="15">
        <v>340</v>
      </c>
      <c r="F44" s="15" t="s">
        <v>24</v>
      </c>
      <c r="G44" s="15">
        <v>12</v>
      </c>
      <c r="H44" s="17">
        <v>367</v>
      </c>
      <c r="I44" s="73">
        <f t="shared" si="1"/>
        <v>1497360</v>
      </c>
    </row>
    <row r="45" spans="1:9" x14ac:dyDescent="0.25">
      <c r="A45" s="15" t="s">
        <v>58</v>
      </c>
      <c r="B45" s="15" t="s">
        <v>57</v>
      </c>
      <c r="C45" s="15">
        <v>10161</v>
      </c>
      <c r="D45" s="18" t="s">
        <v>256</v>
      </c>
      <c r="E45" s="15">
        <v>25</v>
      </c>
      <c r="F45" s="15"/>
      <c r="G45" s="15">
        <v>50</v>
      </c>
      <c r="H45" s="17">
        <v>1159</v>
      </c>
      <c r="I45" s="73">
        <f t="shared" si="1"/>
        <v>1448750</v>
      </c>
    </row>
    <row r="46" spans="1:9" x14ac:dyDescent="0.25">
      <c r="A46" s="21" t="s">
        <v>338</v>
      </c>
      <c r="B46" s="21" t="s">
        <v>157</v>
      </c>
      <c r="C46" s="21">
        <v>2485</v>
      </c>
      <c r="D46" s="24" t="s">
        <v>344</v>
      </c>
      <c r="E46" s="21">
        <v>1</v>
      </c>
      <c r="F46" s="21"/>
      <c r="G46" s="21">
        <v>1000</v>
      </c>
      <c r="H46" s="23">
        <v>1429</v>
      </c>
      <c r="I46" s="73">
        <f t="shared" si="1"/>
        <v>1429000</v>
      </c>
    </row>
    <row r="47" spans="1:9" x14ac:dyDescent="0.25">
      <c r="A47" s="15" t="s">
        <v>265</v>
      </c>
      <c r="B47" s="15" t="s">
        <v>266</v>
      </c>
      <c r="C47" s="15">
        <v>10588</v>
      </c>
      <c r="D47" s="18" t="s">
        <v>267</v>
      </c>
      <c r="E47" s="15">
        <v>16</v>
      </c>
      <c r="F47" s="15" t="s">
        <v>544</v>
      </c>
      <c r="G47" s="15">
        <v>5</v>
      </c>
      <c r="H47" s="17">
        <v>15372</v>
      </c>
      <c r="I47" s="73">
        <f t="shared" si="1"/>
        <v>1229760</v>
      </c>
    </row>
    <row r="48" spans="1:9" x14ac:dyDescent="0.25">
      <c r="A48" s="15" t="s">
        <v>190</v>
      </c>
      <c r="B48" s="15" t="s">
        <v>103</v>
      </c>
      <c r="C48" s="15">
        <v>1010</v>
      </c>
      <c r="D48" s="16" t="s">
        <v>191</v>
      </c>
      <c r="E48" s="15">
        <v>80</v>
      </c>
      <c r="F48" s="15"/>
      <c r="G48" s="15">
        <v>6</v>
      </c>
      <c r="H48" s="17">
        <v>2553</v>
      </c>
      <c r="I48" s="73">
        <f t="shared" si="1"/>
        <v>1225440</v>
      </c>
    </row>
    <row r="49" spans="1:9" x14ac:dyDescent="0.25">
      <c r="A49" s="21" t="s">
        <v>317</v>
      </c>
      <c r="B49" s="21" t="s">
        <v>318</v>
      </c>
      <c r="C49" s="21">
        <v>10066</v>
      </c>
      <c r="D49" s="24" t="s">
        <v>329</v>
      </c>
      <c r="E49" s="21">
        <v>150</v>
      </c>
      <c r="F49" s="21"/>
      <c r="G49" s="21">
        <v>12</v>
      </c>
      <c r="H49" s="23">
        <v>680</v>
      </c>
      <c r="I49" s="73">
        <f t="shared" si="1"/>
        <v>1224000</v>
      </c>
    </row>
    <row r="50" spans="1:9" x14ac:dyDescent="0.25">
      <c r="A50" s="15" t="s">
        <v>200</v>
      </c>
      <c r="B50" s="15" t="s">
        <v>207</v>
      </c>
      <c r="C50" s="15">
        <v>10190</v>
      </c>
      <c r="D50" s="18" t="s">
        <v>215</v>
      </c>
      <c r="E50" s="15">
        <v>340</v>
      </c>
      <c r="F50" s="15" t="s">
        <v>24</v>
      </c>
      <c r="G50" s="15">
        <v>12</v>
      </c>
      <c r="H50" s="17">
        <v>299</v>
      </c>
      <c r="I50" s="73">
        <f t="shared" si="1"/>
        <v>1219920</v>
      </c>
    </row>
    <row r="51" spans="1:9" x14ac:dyDescent="0.25">
      <c r="A51" s="21" t="s">
        <v>104</v>
      </c>
      <c r="B51" s="21" t="s">
        <v>117</v>
      </c>
      <c r="C51" s="21">
        <v>2310</v>
      </c>
      <c r="D51" s="24" t="s">
        <v>310</v>
      </c>
      <c r="E51" s="21">
        <v>100</v>
      </c>
      <c r="F51" s="21"/>
      <c r="G51" s="21">
        <v>10</v>
      </c>
      <c r="H51" s="23">
        <v>1191</v>
      </c>
      <c r="I51" s="73">
        <f t="shared" si="1"/>
        <v>1191000</v>
      </c>
    </row>
    <row r="52" spans="1:9" x14ac:dyDescent="0.25">
      <c r="A52" s="15" t="s">
        <v>58</v>
      </c>
      <c r="B52" s="15" t="s">
        <v>57</v>
      </c>
      <c r="C52" s="15">
        <v>10592</v>
      </c>
      <c r="D52" s="18" t="s">
        <v>260</v>
      </c>
      <c r="E52" s="15">
        <v>8</v>
      </c>
      <c r="F52" s="15"/>
      <c r="G52" s="15">
        <v>20</v>
      </c>
      <c r="H52" s="17">
        <v>7156</v>
      </c>
      <c r="I52" s="73">
        <f t="shared" si="1"/>
        <v>1144960</v>
      </c>
    </row>
    <row r="53" spans="1:9" x14ac:dyDescent="0.25">
      <c r="A53" s="15" t="s">
        <v>232</v>
      </c>
      <c r="B53" s="15" t="s">
        <v>82</v>
      </c>
      <c r="C53" s="15">
        <v>1180</v>
      </c>
      <c r="D53" s="18" t="s">
        <v>239</v>
      </c>
      <c r="E53" s="15">
        <v>400</v>
      </c>
      <c r="F53" s="15" t="s">
        <v>24</v>
      </c>
      <c r="G53" s="15">
        <v>24</v>
      </c>
      <c r="H53" s="17">
        <v>104</v>
      </c>
      <c r="I53" s="73">
        <f t="shared" si="1"/>
        <v>998400</v>
      </c>
    </row>
    <row r="54" spans="1:9" x14ac:dyDescent="0.25">
      <c r="A54" s="21" t="s">
        <v>104</v>
      </c>
      <c r="B54" s="21" t="s">
        <v>103</v>
      </c>
      <c r="C54" s="21">
        <v>10488</v>
      </c>
      <c r="D54" s="24" t="s">
        <v>299</v>
      </c>
      <c r="E54" s="21">
        <v>50</v>
      </c>
      <c r="F54" s="21"/>
      <c r="G54" s="21">
        <v>25</v>
      </c>
      <c r="H54" s="23">
        <v>586</v>
      </c>
      <c r="I54" s="73">
        <f t="shared" si="1"/>
        <v>732500</v>
      </c>
    </row>
    <row r="55" spans="1:9" x14ac:dyDescent="0.25">
      <c r="A55" s="21" t="s">
        <v>317</v>
      </c>
      <c r="B55" s="21" t="s">
        <v>318</v>
      </c>
      <c r="C55" s="21">
        <v>2340</v>
      </c>
      <c r="D55" s="24" t="s">
        <v>319</v>
      </c>
      <c r="E55" s="21">
        <v>200</v>
      </c>
      <c r="F55" s="21"/>
      <c r="G55" s="21">
        <v>10</v>
      </c>
      <c r="H55" s="23">
        <v>312</v>
      </c>
      <c r="I55" s="73">
        <f t="shared" si="1"/>
        <v>624000</v>
      </c>
    </row>
    <row r="56" spans="1:9" x14ac:dyDescent="0.25">
      <c r="A56" s="15" t="s">
        <v>265</v>
      </c>
      <c r="B56" s="15" t="s">
        <v>266</v>
      </c>
      <c r="C56" s="15">
        <v>10589</v>
      </c>
      <c r="D56" s="18" t="s">
        <v>269</v>
      </c>
      <c r="E56" s="15">
        <v>9</v>
      </c>
      <c r="F56" s="15" t="s">
        <v>544</v>
      </c>
      <c r="G56" s="15">
        <v>4</v>
      </c>
      <c r="H56" s="17">
        <v>16672</v>
      </c>
      <c r="I56" s="73">
        <f t="shared" si="1"/>
        <v>600192</v>
      </c>
    </row>
    <row r="57" spans="1:9" x14ac:dyDescent="0.25">
      <c r="A57" s="15" t="s">
        <v>200</v>
      </c>
      <c r="B57" s="15" t="s">
        <v>207</v>
      </c>
      <c r="C57" s="15">
        <v>1160</v>
      </c>
      <c r="D57" s="18" t="s">
        <v>208</v>
      </c>
      <c r="E57" s="15">
        <v>400</v>
      </c>
      <c r="F57" s="15" t="s">
        <v>24</v>
      </c>
      <c r="G57" s="15">
        <v>12</v>
      </c>
      <c r="H57" s="17">
        <v>124</v>
      </c>
      <c r="I57" s="73">
        <f t="shared" si="1"/>
        <v>595200</v>
      </c>
    </row>
    <row r="58" spans="1:9" x14ac:dyDescent="0.25">
      <c r="A58" s="15" t="s">
        <v>58</v>
      </c>
      <c r="B58" s="15" t="s">
        <v>57</v>
      </c>
      <c r="C58" s="15">
        <v>10162</v>
      </c>
      <c r="D58" s="18" t="s">
        <v>259</v>
      </c>
      <c r="E58" s="15">
        <v>20</v>
      </c>
      <c r="F58" s="15"/>
      <c r="G58" s="15">
        <v>40</v>
      </c>
      <c r="H58" s="17">
        <v>684</v>
      </c>
      <c r="I58" s="73">
        <f t="shared" si="1"/>
        <v>547200</v>
      </c>
    </row>
    <row r="59" spans="1:9" x14ac:dyDescent="0.25">
      <c r="A59" s="15" t="s">
        <v>265</v>
      </c>
      <c r="B59" s="15" t="s">
        <v>266</v>
      </c>
      <c r="C59" s="15">
        <v>10513</v>
      </c>
      <c r="D59" s="18" t="s">
        <v>271</v>
      </c>
      <c r="E59" s="15">
        <v>4</v>
      </c>
      <c r="F59" s="15" t="s">
        <v>544</v>
      </c>
      <c r="G59" s="15">
        <v>10</v>
      </c>
      <c r="H59" s="17">
        <v>12990</v>
      </c>
      <c r="I59" s="73">
        <f t="shared" si="1"/>
        <v>519600</v>
      </c>
    </row>
    <row r="60" spans="1:9" x14ac:dyDescent="0.25">
      <c r="A60" s="21" t="s">
        <v>104</v>
      </c>
      <c r="B60" s="21" t="s">
        <v>117</v>
      </c>
      <c r="C60" s="21">
        <v>2385</v>
      </c>
      <c r="D60" s="24" t="s">
        <v>304</v>
      </c>
      <c r="E60" s="21">
        <v>100</v>
      </c>
      <c r="F60" s="21"/>
      <c r="G60" s="21">
        <v>10</v>
      </c>
      <c r="H60" s="23">
        <v>505</v>
      </c>
      <c r="I60" s="73">
        <f t="shared" si="1"/>
        <v>505000</v>
      </c>
    </row>
    <row r="61" spans="1:9" x14ac:dyDescent="0.25">
      <c r="A61" s="21" t="s">
        <v>317</v>
      </c>
      <c r="B61" s="21" t="s">
        <v>318</v>
      </c>
      <c r="C61" s="21">
        <v>2355</v>
      </c>
      <c r="D61" s="24" t="s">
        <v>320</v>
      </c>
      <c r="E61" s="21">
        <v>200</v>
      </c>
      <c r="F61" s="21"/>
      <c r="G61" s="21">
        <v>10</v>
      </c>
      <c r="H61" s="23">
        <v>242</v>
      </c>
      <c r="I61" s="73">
        <f t="shared" si="1"/>
        <v>484000</v>
      </c>
    </row>
    <row r="62" spans="1:9" x14ac:dyDescent="0.25">
      <c r="A62" s="21" t="s">
        <v>104</v>
      </c>
      <c r="B62" s="21" t="s">
        <v>117</v>
      </c>
      <c r="C62" s="21">
        <v>2395</v>
      </c>
      <c r="D62" s="24" t="s">
        <v>305</v>
      </c>
      <c r="E62" s="21">
        <v>100</v>
      </c>
      <c r="F62" s="21"/>
      <c r="G62" s="21">
        <v>10</v>
      </c>
      <c r="H62" s="23">
        <v>479</v>
      </c>
      <c r="I62" s="73">
        <f t="shared" si="1"/>
        <v>479000</v>
      </c>
    </row>
    <row r="63" spans="1:9" x14ac:dyDescent="0.25">
      <c r="A63" s="21" t="s">
        <v>58</v>
      </c>
      <c r="B63" s="21" t="s">
        <v>117</v>
      </c>
      <c r="C63" s="21">
        <v>2255</v>
      </c>
      <c r="D63" s="24" t="s">
        <v>364</v>
      </c>
      <c r="E63" s="21">
        <v>25</v>
      </c>
      <c r="F63" s="21"/>
      <c r="G63" s="21">
        <v>8</v>
      </c>
      <c r="H63" s="23">
        <v>2368</v>
      </c>
      <c r="I63" s="73">
        <f t="shared" si="1"/>
        <v>473600</v>
      </c>
    </row>
    <row r="64" spans="1:9" x14ac:dyDescent="0.25">
      <c r="A64" s="21" t="s">
        <v>58</v>
      </c>
      <c r="B64" s="21" t="s">
        <v>117</v>
      </c>
      <c r="C64" s="21">
        <v>10178</v>
      </c>
      <c r="D64" s="24" t="s">
        <v>365</v>
      </c>
      <c r="E64" s="21">
        <v>25</v>
      </c>
      <c r="F64" s="21"/>
      <c r="G64" s="21">
        <v>8</v>
      </c>
      <c r="H64" s="23">
        <v>1880</v>
      </c>
      <c r="I64" s="73">
        <f t="shared" si="1"/>
        <v>376000</v>
      </c>
    </row>
    <row r="65" spans="1:9" x14ac:dyDescent="0.25">
      <c r="A65" s="15" t="s">
        <v>265</v>
      </c>
      <c r="B65" s="15" t="s">
        <v>266</v>
      </c>
      <c r="C65" s="15">
        <v>10513</v>
      </c>
      <c r="D65" s="18" t="s">
        <v>276</v>
      </c>
      <c r="E65" s="15">
        <v>4</v>
      </c>
      <c r="F65" s="15" t="s">
        <v>544</v>
      </c>
      <c r="G65" s="15">
        <v>10</v>
      </c>
      <c r="H65" s="17">
        <v>8784</v>
      </c>
      <c r="I65" s="73">
        <f t="shared" si="1"/>
        <v>351360</v>
      </c>
    </row>
    <row r="66" spans="1:9" x14ac:dyDescent="0.25">
      <c r="A66" s="21" t="s">
        <v>317</v>
      </c>
      <c r="B66" s="21" t="s">
        <v>318</v>
      </c>
      <c r="C66" s="21">
        <v>10059</v>
      </c>
      <c r="D66" s="24" t="s">
        <v>325</v>
      </c>
      <c r="E66" s="21">
        <v>150</v>
      </c>
      <c r="F66" s="21"/>
      <c r="G66" s="21">
        <v>12</v>
      </c>
      <c r="H66" s="23">
        <v>190</v>
      </c>
      <c r="I66" s="73">
        <f t="shared" si="1"/>
        <v>342000</v>
      </c>
    </row>
    <row r="67" spans="1:9" x14ac:dyDescent="0.25">
      <c r="A67" s="15" t="s">
        <v>192</v>
      </c>
      <c r="B67" s="15" t="s">
        <v>193</v>
      </c>
      <c r="C67" s="15">
        <v>10149</v>
      </c>
      <c r="D67" s="16" t="s">
        <v>194</v>
      </c>
      <c r="E67" s="15">
        <v>1</v>
      </c>
      <c r="F67" s="15"/>
      <c r="G67" s="15">
        <v>50</v>
      </c>
      <c r="H67" s="17">
        <v>5257</v>
      </c>
      <c r="I67" s="73">
        <f t="shared" ref="I67:I98" si="2">E67*G67*H67</f>
        <v>262850</v>
      </c>
    </row>
    <row r="68" spans="1:9" x14ac:dyDescent="0.25">
      <c r="A68" s="21" t="s">
        <v>118</v>
      </c>
      <c r="B68" s="21" t="s">
        <v>117</v>
      </c>
      <c r="C68" s="21">
        <v>5930</v>
      </c>
      <c r="D68" s="24" t="s">
        <v>116</v>
      </c>
      <c r="E68" s="21">
        <v>1</v>
      </c>
      <c r="F68" s="21"/>
      <c r="G68" s="21">
        <v>12</v>
      </c>
      <c r="H68" s="23">
        <v>19632</v>
      </c>
      <c r="I68" s="73">
        <f t="shared" si="2"/>
        <v>235584</v>
      </c>
    </row>
    <row r="69" spans="1:9" x14ac:dyDescent="0.25">
      <c r="A69" s="15" t="s">
        <v>58</v>
      </c>
      <c r="B69" s="15" t="s">
        <v>57</v>
      </c>
      <c r="C69" s="15">
        <v>1300</v>
      </c>
      <c r="D69" s="18" t="s">
        <v>249</v>
      </c>
      <c r="E69" s="15">
        <v>12</v>
      </c>
      <c r="F69" s="15"/>
      <c r="G69" s="15">
        <v>40</v>
      </c>
      <c r="H69" s="17">
        <v>473</v>
      </c>
      <c r="I69" s="73">
        <f t="shared" si="2"/>
        <v>227040</v>
      </c>
    </row>
    <row r="70" spans="1:9" x14ac:dyDescent="0.25">
      <c r="A70" s="21" t="s">
        <v>317</v>
      </c>
      <c r="B70" s="21" t="s">
        <v>318</v>
      </c>
      <c r="C70" s="21">
        <v>2360</v>
      </c>
      <c r="D70" s="24" t="s">
        <v>322</v>
      </c>
      <c r="E70" s="21">
        <v>200</v>
      </c>
      <c r="F70" s="21"/>
      <c r="G70" s="21">
        <v>10</v>
      </c>
      <c r="H70" s="23">
        <v>112</v>
      </c>
      <c r="I70" s="73">
        <f t="shared" si="2"/>
        <v>224000</v>
      </c>
    </row>
    <row r="71" spans="1:9" x14ac:dyDescent="0.25">
      <c r="A71" s="21" t="s">
        <v>317</v>
      </c>
      <c r="B71" s="21" t="s">
        <v>318</v>
      </c>
      <c r="C71" s="21">
        <v>10061</v>
      </c>
      <c r="D71" s="24" t="s">
        <v>327</v>
      </c>
      <c r="E71" s="21">
        <v>150</v>
      </c>
      <c r="F71" s="21"/>
      <c r="G71" s="21">
        <v>12</v>
      </c>
      <c r="H71" s="23">
        <v>123</v>
      </c>
      <c r="I71" s="73">
        <f t="shared" si="2"/>
        <v>221400</v>
      </c>
    </row>
    <row r="72" spans="1:9" x14ac:dyDescent="0.25">
      <c r="A72" s="21" t="s">
        <v>58</v>
      </c>
      <c r="B72" s="21" t="s">
        <v>117</v>
      </c>
      <c r="C72" s="21">
        <v>10180</v>
      </c>
      <c r="D72" s="22" t="s">
        <v>367</v>
      </c>
      <c r="E72" s="21">
        <v>25</v>
      </c>
      <c r="F72" s="21"/>
      <c r="G72" s="21">
        <v>8</v>
      </c>
      <c r="H72" s="23">
        <v>1106</v>
      </c>
      <c r="I72" s="73">
        <f t="shared" si="2"/>
        <v>221200</v>
      </c>
    </row>
    <row r="73" spans="1:9" x14ac:dyDescent="0.25">
      <c r="A73" s="21" t="s">
        <v>104</v>
      </c>
      <c r="B73" s="21" t="s">
        <v>103</v>
      </c>
      <c r="C73" s="21">
        <v>10519</v>
      </c>
      <c r="D73" s="24" t="s">
        <v>316</v>
      </c>
      <c r="E73" s="21">
        <v>100</v>
      </c>
      <c r="F73" s="21"/>
      <c r="G73" s="21">
        <v>10</v>
      </c>
      <c r="H73" s="23">
        <v>216</v>
      </c>
      <c r="I73" s="73">
        <f t="shared" si="2"/>
        <v>216000</v>
      </c>
    </row>
    <row r="74" spans="1:9" x14ac:dyDescent="0.25">
      <c r="A74" s="21" t="s">
        <v>317</v>
      </c>
      <c r="B74" s="21" t="s">
        <v>318</v>
      </c>
      <c r="C74" s="21">
        <v>2350</v>
      </c>
      <c r="D74" s="24" t="s">
        <v>321</v>
      </c>
      <c r="E74" s="21">
        <v>200</v>
      </c>
      <c r="F74" s="21"/>
      <c r="G74" s="21">
        <v>10</v>
      </c>
      <c r="H74" s="23">
        <v>103</v>
      </c>
      <c r="I74" s="73">
        <f t="shared" si="2"/>
        <v>206000</v>
      </c>
    </row>
    <row r="75" spans="1:9" x14ac:dyDescent="0.25">
      <c r="A75" s="21" t="s">
        <v>37</v>
      </c>
      <c r="B75" s="21" t="s">
        <v>155</v>
      </c>
      <c r="C75" s="21">
        <v>5955</v>
      </c>
      <c r="D75" s="24" t="s">
        <v>377</v>
      </c>
      <c r="E75" s="21">
        <v>5</v>
      </c>
      <c r="F75" s="21" t="s">
        <v>545</v>
      </c>
      <c r="G75" s="21">
        <v>4</v>
      </c>
      <c r="H75" s="23">
        <v>10095</v>
      </c>
      <c r="I75" s="73">
        <f t="shared" si="2"/>
        <v>201900</v>
      </c>
    </row>
    <row r="76" spans="1:9" x14ac:dyDescent="0.25">
      <c r="A76" s="21" t="s">
        <v>104</v>
      </c>
      <c r="B76" s="21" t="s">
        <v>103</v>
      </c>
      <c r="C76" s="21">
        <v>10487</v>
      </c>
      <c r="D76" s="24" t="s">
        <v>300</v>
      </c>
      <c r="E76" s="21">
        <v>50</v>
      </c>
      <c r="F76" s="21"/>
      <c r="G76" s="21">
        <v>16</v>
      </c>
      <c r="H76" s="23">
        <v>244</v>
      </c>
      <c r="I76" s="73">
        <f t="shared" si="2"/>
        <v>195200</v>
      </c>
    </row>
    <row r="77" spans="1:9" x14ac:dyDescent="0.25">
      <c r="A77" s="21" t="s">
        <v>317</v>
      </c>
      <c r="B77" s="21" t="s">
        <v>318</v>
      </c>
      <c r="C77" s="21">
        <v>10060</v>
      </c>
      <c r="D77" s="24" t="s">
        <v>326</v>
      </c>
      <c r="E77" s="21">
        <v>150</v>
      </c>
      <c r="F77" s="21"/>
      <c r="G77" s="21">
        <v>12</v>
      </c>
      <c r="H77" s="23">
        <v>107</v>
      </c>
      <c r="I77" s="73">
        <f t="shared" si="2"/>
        <v>192600</v>
      </c>
    </row>
    <row r="78" spans="1:9" x14ac:dyDescent="0.25">
      <c r="A78" s="21" t="s">
        <v>58</v>
      </c>
      <c r="B78" s="21" t="s">
        <v>117</v>
      </c>
      <c r="C78" s="21">
        <v>10177</v>
      </c>
      <c r="D78" s="22" t="s">
        <v>363</v>
      </c>
      <c r="E78" s="21">
        <v>25</v>
      </c>
      <c r="F78" s="21"/>
      <c r="G78" s="21">
        <v>4</v>
      </c>
      <c r="H78" s="23">
        <v>1876</v>
      </c>
      <c r="I78" s="73">
        <f t="shared" si="2"/>
        <v>187600</v>
      </c>
    </row>
    <row r="79" spans="1:9" x14ac:dyDescent="0.25">
      <c r="A79" s="21" t="s">
        <v>317</v>
      </c>
      <c r="B79" s="21" t="s">
        <v>318</v>
      </c>
      <c r="C79" s="21">
        <v>10058</v>
      </c>
      <c r="D79" s="24" t="s">
        <v>330</v>
      </c>
      <c r="E79" s="21">
        <v>150</v>
      </c>
      <c r="F79" s="21"/>
      <c r="G79" s="21">
        <v>12</v>
      </c>
      <c r="H79" s="23">
        <v>100</v>
      </c>
      <c r="I79" s="73">
        <f t="shared" si="2"/>
        <v>180000</v>
      </c>
    </row>
    <row r="80" spans="1:9" x14ac:dyDescent="0.25">
      <c r="A80" s="15" t="s">
        <v>265</v>
      </c>
      <c r="B80" s="15" t="s">
        <v>266</v>
      </c>
      <c r="C80" s="15">
        <v>10600</v>
      </c>
      <c r="D80" s="18" t="s">
        <v>273</v>
      </c>
      <c r="E80" s="15">
        <v>2</v>
      </c>
      <c r="F80" s="15" t="s">
        <v>544</v>
      </c>
      <c r="G80" s="15">
        <v>8</v>
      </c>
      <c r="H80" s="17">
        <v>11136</v>
      </c>
      <c r="I80" s="73">
        <f t="shared" si="2"/>
        <v>178176</v>
      </c>
    </row>
    <row r="81" spans="1:9" x14ac:dyDescent="0.25">
      <c r="A81" s="15" t="s">
        <v>63</v>
      </c>
      <c r="B81" s="15" t="s">
        <v>57</v>
      </c>
      <c r="C81" s="15">
        <v>10164</v>
      </c>
      <c r="D81" s="16" t="s">
        <v>197</v>
      </c>
      <c r="E81" s="15">
        <v>6</v>
      </c>
      <c r="F81" s="15"/>
      <c r="G81" s="15">
        <v>24</v>
      </c>
      <c r="H81" s="17">
        <v>1141</v>
      </c>
      <c r="I81" s="73">
        <f t="shared" si="2"/>
        <v>164304</v>
      </c>
    </row>
    <row r="82" spans="1:9" x14ac:dyDescent="0.25">
      <c r="A82" s="21" t="s">
        <v>317</v>
      </c>
      <c r="B82" s="21" t="s">
        <v>318</v>
      </c>
      <c r="C82" s="21">
        <v>2370</v>
      </c>
      <c r="D82" s="24" t="s">
        <v>323</v>
      </c>
      <c r="E82" s="21">
        <v>200</v>
      </c>
      <c r="F82" s="21"/>
      <c r="G82" s="21">
        <v>10</v>
      </c>
      <c r="H82" s="23">
        <v>79</v>
      </c>
      <c r="I82" s="73">
        <f t="shared" si="2"/>
        <v>158000</v>
      </c>
    </row>
    <row r="83" spans="1:9" x14ac:dyDescent="0.25">
      <c r="A83" s="21" t="s">
        <v>104</v>
      </c>
      <c r="B83" s="21" t="s">
        <v>117</v>
      </c>
      <c r="C83" s="21">
        <v>2400</v>
      </c>
      <c r="D83" s="24" t="s">
        <v>306</v>
      </c>
      <c r="E83" s="21">
        <v>100</v>
      </c>
      <c r="F83" s="21"/>
      <c r="G83" s="21">
        <v>10</v>
      </c>
      <c r="H83" s="23">
        <v>157</v>
      </c>
      <c r="I83" s="73">
        <f t="shared" si="2"/>
        <v>157000</v>
      </c>
    </row>
    <row r="84" spans="1:9" x14ac:dyDescent="0.25">
      <c r="A84" s="21" t="s">
        <v>118</v>
      </c>
      <c r="B84" s="21" t="s">
        <v>117</v>
      </c>
      <c r="C84" s="21">
        <v>10118</v>
      </c>
      <c r="D84" s="24" t="s">
        <v>119</v>
      </c>
      <c r="E84" s="21">
        <v>1</v>
      </c>
      <c r="F84" s="21"/>
      <c r="G84" s="21">
        <v>12</v>
      </c>
      <c r="H84" s="23">
        <v>12924</v>
      </c>
      <c r="I84" s="73">
        <f t="shared" si="2"/>
        <v>155088</v>
      </c>
    </row>
    <row r="85" spans="1:9" x14ac:dyDescent="0.25">
      <c r="A85" s="15" t="s">
        <v>63</v>
      </c>
      <c r="B85" s="15" t="s">
        <v>57</v>
      </c>
      <c r="C85" s="15">
        <v>10165</v>
      </c>
      <c r="D85" s="16" t="s">
        <v>198</v>
      </c>
      <c r="E85" s="15">
        <v>10</v>
      </c>
      <c r="F85" s="15"/>
      <c r="G85" s="15">
        <v>10</v>
      </c>
      <c r="H85" s="17">
        <v>1539</v>
      </c>
      <c r="I85" s="73">
        <f t="shared" si="2"/>
        <v>153900</v>
      </c>
    </row>
    <row r="86" spans="1:9" x14ac:dyDescent="0.25">
      <c r="A86" s="21" t="s">
        <v>104</v>
      </c>
      <c r="B86" s="21" t="s">
        <v>117</v>
      </c>
      <c r="C86" s="21">
        <v>2260</v>
      </c>
      <c r="D86" s="24" t="s">
        <v>308</v>
      </c>
      <c r="E86" s="21">
        <v>100</v>
      </c>
      <c r="F86" s="21"/>
      <c r="G86" s="21">
        <v>10</v>
      </c>
      <c r="H86" s="23">
        <v>144</v>
      </c>
      <c r="I86" s="73">
        <f t="shared" si="2"/>
        <v>144000</v>
      </c>
    </row>
    <row r="87" spans="1:9" x14ac:dyDescent="0.25">
      <c r="A87" s="21" t="s">
        <v>37</v>
      </c>
      <c r="B87" s="21" t="s">
        <v>96</v>
      </c>
      <c r="C87" s="21">
        <v>2525</v>
      </c>
      <c r="D87" s="24" t="s">
        <v>368</v>
      </c>
      <c r="E87" s="21">
        <v>25</v>
      </c>
      <c r="F87" s="21" t="s">
        <v>543</v>
      </c>
      <c r="G87" s="21">
        <v>1</v>
      </c>
      <c r="H87" s="23">
        <v>5697</v>
      </c>
      <c r="I87" s="73">
        <f t="shared" si="2"/>
        <v>142425</v>
      </c>
    </row>
    <row r="88" spans="1:9" x14ac:dyDescent="0.25">
      <c r="A88" s="21" t="s">
        <v>104</v>
      </c>
      <c r="B88" s="21" t="s">
        <v>117</v>
      </c>
      <c r="C88" s="21">
        <v>2410</v>
      </c>
      <c r="D88" s="24" t="s">
        <v>301</v>
      </c>
      <c r="E88" s="21">
        <v>100</v>
      </c>
      <c r="F88" s="21"/>
      <c r="G88" s="21">
        <v>10</v>
      </c>
      <c r="H88" s="23">
        <v>142</v>
      </c>
      <c r="I88" s="73">
        <f t="shared" si="2"/>
        <v>142000</v>
      </c>
    </row>
    <row r="89" spans="1:9" x14ac:dyDescent="0.25">
      <c r="A89" s="21" t="s">
        <v>104</v>
      </c>
      <c r="B89" s="21" t="s">
        <v>103</v>
      </c>
      <c r="C89" s="21">
        <v>10520</v>
      </c>
      <c r="D89" s="22" t="s">
        <v>295</v>
      </c>
      <c r="E89" s="21">
        <v>100</v>
      </c>
      <c r="F89" s="21"/>
      <c r="G89" s="21">
        <v>10</v>
      </c>
      <c r="H89" s="23">
        <v>142</v>
      </c>
      <c r="I89" s="73">
        <f t="shared" si="2"/>
        <v>142000</v>
      </c>
    </row>
    <row r="90" spans="1:9" x14ac:dyDescent="0.25">
      <c r="A90" s="21" t="s">
        <v>104</v>
      </c>
      <c r="B90" s="21" t="s">
        <v>117</v>
      </c>
      <c r="C90" s="21">
        <v>2415</v>
      </c>
      <c r="D90" s="24" t="s">
        <v>302</v>
      </c>
      <c r="E90" s="21">
        <v>100</v>
      </c>
      <c r="F90" s="21"/>
      <c r="G90" s="21">
        <v>10</v>
      </c>
      <c r="H90" s="23">
        <v>127</v>
      </c>
      <c r="I90" s="73">
        <f t="shared" si="2"/>
        <v>127000</v>
      </c>
    </row>
    <row r="91" spans="1:9" x14ac:dyDescent="0.25">
      <c r="A91" s="21" t="s">
        <v>104</v>
      </c>
      <c r="B91" s="21" t="s">
        <v>103</v>
      </c>
      <c r="C91" s="21">
        <v>10519</v>
      </c>
      <c r="D91" s="22" t="s">
        <v>294</v>
      </c>
      <c r="E91" s="21">
        <v>100</v>
      </c>
      <c r="F91" s="21"/>
      <c r="G91" s="21">
        <v>10</v>
      </c>
      <c r="H91" s="23">
        <v>125</v>
      </c>
      <c r="I91" s="73">
        <f t="shared" si="2"/>
        <v>125000</v>
      </c>
    </row>
    <row r="92" spans="1:9" x14ac:dyDescent="0.25">
      <c r="A92" s="21" t="s">
        <v>58</v>
      </c>
      <c r="B92" s="21" t="s">
        <v>353</v>
      </c>
      <c r="C92" s="21">
        <v>2145</v>
      </c>
      <c r="D92" s="24" t="s">
        <v>354</v>
      </c>
      <c r="E92" s="21">
        <v>25</v>
      </c>
      <c r="F92" s="21"/>
      <c r="G92" s="21">
        <v>40</v>
      </c>
      <c r="H92" s="23">
        <v>118</v>
      </c>
      <c r="I92" s="73">
        <f t="shared" si="2"/>
        <v>118000</v>
      </c>
    </row>
    <row r="93" spans="1:9" x14ac:dyDescent="0.25">
      <c r="A93" s="21" t="s">
        <v>118</v>
      </c>
      <c r="B93" s="21" t="s">
        <v>117</v>
      </c>
      <c r="C93" s="21">
        <v>50212</v>
      </c>
      <c r="D93" s="24" t="s">
        <v>382</v>
      </c>
      <c r="E93" s="21">
        <v>1</v>
      </c>
      <c r="F93" s="21"/>
      <c r="G93" s="21">
        <v>12</v>
      </c>
      <c r="H93" s="23">
        <v>9732</v>
      </c>
      <c r="I93" s="73">
        <f t="shared" si="2"/>
        <v>116784</v>
      </c>
    </row>
    <row r="94" spans="1:9" x14ac:dyDescent="0.25">
      <c r="A94" s="21" t="s">
        <v>317</v>
      </c>
      <c r="B94" s="21" t="s">
        <v>318</v>
      </c>
      <c r="C94" s="21">
        <v>10062</v>
      </c>
      <c r="D94" s="24" t="s">
        <v>328</v>
      </c>
      <c r="E94" s="21">
        <v>150</v>
      </c>
      <c r="F94" s="21"/>
      <c r="G94" s="21">
        <v>12</v>
      </c>
      <c r="H94" s="23">
        <v>62</v>
      </c>
      <c r="I94" s="73">
        <f t="shared" si="2"/>
        <v>111600</v>
      </c>
    </row>
    <row r="95" spans="1:9" x14ac:dyDescent="0.25">
      <c r="A95" s="21" t="s">
        <v>118</v>
      </c>
      <c r="B95" s="21" t="s">
        <v>117</v>
      </c>
      <c r="C95" s="21">
        <v>50213</v>
      </c>
      <c r="D95" s="24" t="s">
        <v>383</v>
      </c>
      <c r="E95" s="21">
        <v>1</v>
      </c>
      <c r="F95" s="21"/>
      <c r="G95" s="21">
        <v>12</v>
      </c>
      <c r="H95" s="23">
        <v>7692</v>
      </c>
      <c r="I95" s="73">
        <f t="shared" si="2"/>
        <v>92304</v>
      </c>
    </row>
    <row r="96" spans="1:9" x14ac:dyDescent="0.25">
      <c r="A96" s="21" t="s">
        <v>104</v>
      </c>
      <c r="B96" s="21" t="s">
        <v>103</v>
      </c>
      <c r="C96" s="21">
        <v>10489</v>
      </c>
      <c r="D96" s="22" t="s">
        <v>296</v>
      </c>
      <c r="E96" s="21">
        <v>100</v>
      </c>
      <c r="F96" s="21"/>
      <c r="G96" s="21">
        <v>30</v>
      </c>
      <c r="H96" s="23">
        <v>29</v>
      </c>
      <c r="I96" s="73">
        <f t="shared" si="2"/>
        <v>87000</v>
      </c>
    </row>
    <row r="97" spans="1:9" x14ac:dyDescent="0.25">
      <c r="A97" s="21" t="s">
        <v>58</v>
      </c>
      <c r="B97" s="21" t="s">
        <v>353</v>
      </c>
      <c r="C97" s="21">
        <v>2150</v>
      </c>
      <c r="D97" s="24" t="s">
        <v>355</v>
      </c>
      <c r="E97" s="21">
        <v>25</v>
      </c>
      <c r="F97" s="21"/>
      <c r="G97" s="21">
        <v>40</v>
      </c>
      <c r="H97" s="23">
        <v>74</v>
      </c>
      <c r="I97" s="73">
        <f t="shared" si="2"/>
        <v>74000</v>
      </c>
    </row>
    <row r="98" spans="1:9" x14ac:dyDescent="0.25">
      <c r="A98" s="21" t="s">
        <v>37</v>
      </c>
      <c r="B98" s="21" t="s">
        <v>96</v>
      </c>
      <c r="C98" s="21">
        <v>2535</v>
      </c>
      <c r="D98" s="24" t="s">
        <v>372</v>
      </c>
      <c r="E98" s="21">
        <v>25</v>
      </c>
      <c r="F98" s="21" t="s">
        <v>543</v>
      </c>
      <c r="G98" s="21">
        <v>1</v>
      </c>
      <c r="H98" s="23">
        <v>2756</v>
      </c>
      <c r="I98" s="73">
        <f t="shared" si="2"/>
        <v>68900</v>
      </c>
    </row>
    <row r="99" spans="1:9" x14ac:dyDescent="0.25">
      <c r="A99" s="15" t="s">
        <v>58</v>
      </c>
      <c r="B99" s="15" t="s">
        <v>57</v>
      </c>
      <c r="C99" s="15">
        <v>10591</v>
      </c>
      <c r="D99" s="18" t="s">
        <v>258</v>
      </c>
      <c r="E99" s="15">
        <v>8</v>
      </c>
      <c r="F99" s="15"/>
      <c r="G99" s="15">
        <v>20</v>
      </c>
      <c r="H99" s="17">
        <v>420</v>
      </c>
      <c r="I99" s="73">
        <f t="shared" ref="I99:I130" si="3">E99*G99*H99</f>
        <v>67200</v>
      </c>
    </row>
    <row r="100" spans="1:9" x14ac:dyDescent="0.25">
      <c r="A100" s="15" t="s">
        <v>277</v>
      </c>
      <c r="B100" s="15" t="s">
        <v>288</v>
      </c>
      <c r="C100" s="15">
        <v>10037</v>
      </c>
      <c r="D100" s="18" t="s">
        <v>292</v>
      </c>
      <c r="E100" s="15">
        <v>2</v>
      </c>
      <c r="F100" s="15" t="s">
        <v>543</v>
      </c>
      <c r="G100" s="15">
        <v>8</v>
      </c>
      <c r="H100" s="17">
        <v>3945</v>
      </c>
      <c r="I100" s="73">
        <f t="shared" si="3"/>
        <v>63120</v>
      </c>
    </row>
    <row r="101" spans="1:9" x14ac:dyDescent="0.25">
      <c r="A101" s="21" t="s">
        <v>58</v>
      </c>
      <c r="B101" s="21" t="s">
        <v>143</v>
      </c>
      <c r="C101" s="21">
        <v>2120</v>
      </c>
      <c r="D101" s="22" t="s">
        <v>357</v>
      </c>
      <c r="E101" s="21">
        <v>25</v>
      </c>
      <c r="F101" s="21"/>
      <c r="G101" s="21">
        <v>40</v>
      </c>
      <c r="H101" s="23">
        <v>57</v>
      </c>
      <c r="I101" s="73">
        <f t="shared" si="3"/>
        <v>57000</v>
      </c>
    </row>
    <row r="102" spans="1:9" x14ac:dyDescent="0.25">
      <c r="A102" s="15" t="s">
        <v>277</v>
      </c>
      <c r="B102" s="15" t="s">
        <v>288</v>
      </c>
      <c r="C102" s="15">
        <v>10038</v>
      </c>
      <c r="D102" s="18" t="s">
        <v>291</v>
      </c>
      <c r="E102" s="15">
        <v>2</v>
      </c>
      <c r="F102" s="15" t="s">
        <v>543</v>
      </c>
      <c r="G102" s="15">
        <v>8</v>
      </c>
      <c r="H102" s="17">
        <v>3544</v>
      </c>
      <c r="I102" s="73">
        <f t="shared" si="3"/>
        <v>56704</v>
      </c>
    </row>
    <row r="103" spans="1:9" x14ac:dyDescent="0.25">
      <c r="A103" s="15" t="s">
        <v>58</v>
      </c>
      <c r="B103" s="15" t="s">
        <v>57</v>
      </c>
      <c r="C103" s="15">
        <v>1285</v>
      </c>
      <c r="D103" s="18" t="s">
        <v>248</v>
      </c>
      <c r="E103" s="15">
        <v>5</v>
      </c>
      <c r="F103" s="15"/>
      <c r="G103" s="15">
        <v>20</v>
      </c>
      <c r="H103" s="17">
        <v>556</v>
      </c>
      <c r="I103" s="73">
        <f t="shared" si="3"/>
        <v>55600</v>
      </c>
    </row>
    <row r="104" spans="1:9" x14ac:dyDescent="0.25">
      <c r="A104" s="21" t="s">
        <v>58</v>
      </c>
      <c r="B104" s="21" t="s">
        <v>117</v>
      </c>
      <c r="C104" s="21">
        <v>10318</v>
      </c>
      <c r="D104" s="24" t="s">
        <v>366</v>
      </c>
      <c r="E104" s="21">
        <v>50</v>
      </c>
      <c r="F104" s="21"/>
      <c r="G104" s="21">
        <v>2</v>
      </c>
      <c r="H104" s="23">
        <v>554</v>
      </c>
      <c r="I104" s="73">
        <f t="shared" si="3"/>
        <v>55400</v>
      </c>
    </row>
    <row r="105" spans="1:9" x14ac:dyDescent="0.25">
      <c r="A105" s="21" t="s">
        <v>58</v>
      </c>
      <c r="B105" s="21" t="s">
        <v>353</v>
      </c>
      <c r="C105" s="21">
        <v>2155</v>
      </c>
      <c r="D105" s="24" t="s">
        <v>356</v>
      </c>
      <c r="E105" s="21">
        <v>10</v>
      </c>
      <c r="F105" s="21"/>
      <c r="G105" s="21">
        <v>40</v>
      </c>
      <c r="H105" s="23">
        <v>135</v>
      </c>
      <c r="I105" s="73">
        <f t="shared" si="3"/>
        <v>54000</v>
      </c>
    </row>
    <row r="106" spans="1:9" x14ac:dyDescent="0.25">
      <c r="A106" s="15" t="s">
        <v>58</v>
      </c>
      <c r="B106" s="15" t="s">
        <v>57</v>
      </c>
      <c r="C106" s="15">
        <v>1250</v>
      </c>
      <c r="D106" s="18" t="s">
        <v>250</v>
      </c>
      <c r="E106" s="15">
        <v>1</v>
      </c>
      <c r="F106" s="15"/>
      <c r="G106" s="15">
        <v>24</v>
      </c>
      <c r="H106" s="17">
        <v>2125</v>
      </c>
      <c r="I106" s="73">
        <f t="shared" si="3"/>
        <v>51000</v>
      </c>
    </row>
    <row r="107" spans="1:9" x14ac:dyDescent="0.25">
      <c r="A107" s="21" t="s">
        <v>37</v>
      </c>
      <c r="B107" s="21" t="s">
        <v>153</v>
      </c>
      <c r="C107" s="21">
        <v>2515</v>
      </c>
      <c r="D107" s="24" t="s">
        <v>375</v>
      </c>
      <c r="E107" s="21">
        <v>5</v>
      </c>
      <c r="F107" s="21" t="s">
        <v>543</v>
      </c>
      <c r="G107" s="21">
        <v>1</v>
      </c>
      <c r="H107" s="23">
        <v>10146</v>
      </c>
      <c r="I107" s="73">
        <f t="shared" si="3"/>
        <v>50730</v>
      </c>
    </row>
    <row r="108" spans="1:9" x14ac:dyDescent="0.25">
      <c r="A108" s="21" t="s">
        <v>137</v>
      </c>
      <c r="B108" s="21" t="s">
        <v>136</v>
      </c>
      <c r="C108" s="21">
        <v>10105</v>
      </c>
      <c r="D108" s="24" t="s">
        <v>351</v>
      </c>
      <c r="E108" s="21">
        <v>20</v>
      </c>
      <c r="F108" s="21" t="s">
        <v>545</v>
      </c>
      <c r="G108" s="21">
        <v>1</v>
      </c>
      <c r="H108" s="23">
        <v>2496</v>
      </c>
      <c r="I108" s="73">
        <f t="shared" si="3"/>
        <v>49920</v>
      </c>
    </row>
    <row r="109" spans="1:9" x14ac:dyDescent="0.25">
      <c r="A109" s="21" t="s">
        <v>58</v>
      </c>
      <c r="B109" s="21" t="s">
        <v>117</v>
      </c>
      <c r="C109" s="21">
        <v>2250</v>
      </c>
      <c r="D109" s="22" t="s">
        <v>361</v>
      </c>
      <c r="E109" s="21">
        <v>50</v>
      </c>
      <c r="F109" s="21" t="s">
        <v>547</v>
      </c>
      <c r="G109" s="21">
        <v>4</v>
      </c>
      <c r="H109" s="23">
        <v>215</v>
      </c>
      <c r="I109" s="73">
        <f t="shared" si="3"/>
        <v>43000</v>
      </c>
    </row>
    <row r="110" spans="1:9" x14ac:dyDescent="0.25">
      <c r="A110" s="21" t="s">
        <v>104</v>
      </c>
      <c r="B110" s="21" t="s">
        <v>117</v>
      </c>
      <c r="C110" s="21">
        <v>2420</v>
      </c>
      <c r="D110" s="24" t="s">
        <v>303</v>
      </c>
      <c r="E110" s="21">
        <v>100</v>
      </c>
      <c r="F110" s="21"/>
      <c r="G110" s="21">
        <v>10</v>
      </c>
      <c r="H110" s="23">
        <v>39</v>
      </c>
      <c r="I110" s="73">
        <f t="shared" si="3"/>
        <v>39000</v>
      </c>
    </row>
    <row r="111" spans="1:9" x14ac:dyDescent="0.25">
      <c r="A111" s="15" t="s">
        <v>232</v>
      </c>
      <c r="B111" s="15" t="s">
        <v>82</v>
      </c>
      <c r="C111" s="15">
        <v>10484</v>
      </c>
      <c r="D111" s="18" t="s">
        <v>233</v>
      </c>
      <c r="E111" s="15">
        <v>10</v>
      </c>
      <c r="F111" s="15" t="s">
        <v>543</v>
      </c>
      <c r="G111" s="15">
        <v>1</v>
      </c>
      <c r="H111" s="17">
        <v>3778</v>
      </c>
      <c r="I111" s="73">
        <f t="shared" si="3"/>
        <v>37780</v>
      </c>
    </row>
    <row r="112" spans="1:9" x14ac:dyDescent="0.25">
      <c r="A112" s="15" t="s">
        <v>192</v>
      </c>
      <c r="B112" s="15" t="s">
        <v>193</v>
      </c>
      <c r="C112" s="15">
        <v>10151</v>
      </c>
      <c r="D112" s="16" t="s">
        <v>196</v>
      </c>
      <c r="E112" s="15">
        <v>1</v>
      </c>
      <c r="F112" s="15"/>
      <c r="G112" s="15">
        <v>50</v>
      </c>
      <c r="H112" s="17">
        <v>680</v>
      </c>
      <c r="I112" s="73">
        <f t="shared" si="3"/>
        <v>34000</v>
      </c>
    </row>
    <row r="113" spans="1:9" x14ac:dyDescent="0.25">
      <c r="A113" s="15" t="s">
        <v>58</v>
      </c>
      <c r="B113" s="15" t="s">
        <v>57</v>
      </c>
      <c r="C113" s="15">
        <v>1265</v>
      </c>
      <c r="D113" s="18" t="s">
        <v>254</v>
      </c>
      <c r="E113" s="15">
        <v>2</v>
      </c>
      <c r="F113" s="15" t="s">
        <v>253</v>
      </c>
      <c r="G113" s="15">
        <v>72</v>
      </c>
      <c r="H113" s="17">
        <v>217</v>
      </c>
      <c r="I113" s="73">
        <f t="shared" si="3"/>
        <v>31248</v>
      </c>
    </row>
    <row r="114" spans="1:9" x14ac:dyDescent="0.25">
      <c r="A114" s="15" t="s">
        <v>232</v>
      </c>
      <c r="B114" s="15" t="s">
        <v>82</v>
      </c>
      <c r="C114" s="15">
        <v>10175</v>
      </c>
      <c r="D114" s="18" t="s">
        <v>237</v>
      </c>
      <c r="E114" s="15">
        <v>2.5</v>
      </c>
      <c r="F114" s="15" t="s">
        <v>546</v>
      </c>
      <c r="G114" s="15">
        <v>4</v>
      </c>
      <c r="H114" s="17">
        <v>3002</v>
      </c>
      <c r="I114" s="73">
        <f t="shared" si="3"/>
        <v>30020</v>
      </c>
    </row>
    <row r="115" spans="1:9" x14ac:dyDescent="0.25">
      <c r="A115" s="21" t="s">
        <v>104</v>
      </c>
      <c r="B115" s="21" t="s">
        <v>311</v>
      </c>
      <c r="C115" s="21">
        <v>10532</v>
      </c>
      <c r="D115" s="24" t="s">
        <v>314</v>
      </c>
      <c r="E115" s="21">
        <v>1000</v>
      </c>
      <c r="F115" s="21"/>
      <c r="G115" s="21">
        <v>10</v>
      </c>
      <c r="H115" s="23">
        <v>3</v>
      </c>
      <c r="I115" s="73">
        <f t="shared" si="3"/>
        <v>30000</v>
      </c>
    </row>
    <row r="116" spans="1:9" x14ac:dyDescent="0.25">
      <c r="A116" s="15" t="s">
        <v>67</v>
      </c>
      <c r="B116" s="15" t="s">
        <v>243</v>
      </c>
      <c r="C116" s="15">
        <v>10050</v>
      </c>
      <c r="D116" s="18" t="s">
        <v>244</v>
      </c>
      <c r="E116" s="15">
        <v>1</v>
      </c>
      <c r="F116" s="15" t="s">
        <v>542</v>
      </c>
      <c r="G116" s="15">
        <v>12</v>
      </c>
      <c r="H116" s="17">
        <v>2440</v>
      </c>
      <c r="I116" s="73">
        <f t="shared" si="3"/>
        <v>29280</v>
      </c>
    </row>
    <row r="117" spans="1:9" x14ac:dyDescent="0.25">
      <c r="A117" s="15" t="s">
        <v>58</v>
      </c>
      <c r="B117" s="15" t="s">
        <v>57</v>
      </c>
      <c r="C117" s="15">
        <v>1270</v>
      </c>
      <c r="D117" s="18" t="s">
        <v>252</v>
      </c>
      <c r="E117" s="15">
        <v>2</v>
      </c>
      <c r="F117" s="15" t="s">
        <v>253</v>
      </c>
      <c r="G117" s="15">
        <v>72</v>
      </c>
      <c r="H117" s="17">
        <v>197</v>
      </c>
      <c r="I117" s="73">
        <f t="shared" si="3"/>
        <v>28368</v>
      </c>
    </row>
    <row r="118" spans="1:9" x14ac:dyDescent="0.25">
      <c r="A118" s="15" t="s">
        <v>277</v>
      </c>
      <c r="B118" s="15" t="s">
        <v>136</v>
      </c>
      <c r="C118" s="15">
        <v>10594</v>
      </c>
      <c r="D118" s="18" t="s">
        <v>286</v>
      </c>
      <c r="E118" s="15">
        <v>1</v>
      </c>
      <c r="F118" s="15" t="s">
        <v>542</v>
      </c>
      <c r="G118" s="15">
        <v>15</v>
      </c>
      <c r="H118" s="17">
        <v>1669</v>
      </c>
      <c r="I118" s="73">
        <f t="shared" si="3"/>
        <v>25035</v>
      </c>
    </row>
    <row r="119" spans="1:9" x14ac:dyDescent="0.25">
      <c r="A119" s="21" t="s">
        <v>104</v>
      </c>
      <c r="B119" s="21" t="s">
        <v>311</v>
      </c>
      <c r="C119" s="21">
        <v>10531</v>
      </c>
      <c r="D119" s="24" t="s">
        <v>313</v>
      </c>
      <c r="E119" s="21">
        <v>100</v>
      </c>
      <c r="F119" s="21"/>
      <c r="G119" s="21">
        <v>10</v>
      </c>
      <c r="H119" s="23">
        <v>22</v>
      </c>
      <c r="I119" s="73">
        <f t="shared" si="3"/>
        <v>22000</v>
      </c>
    </row>
    <row r="120" spans="1:9" x14ac:dyDescent="0.25">
      <c r="A120" s="15" t="s">
        <v>232</v>
      </c>
      <c r="B120" s="15" t="s">
        <v>82</v>
      </c>
      <c r="C120" s="15">
        <v>10176</v>
      </c>
      <c r="D120" s="18" t="s">
        <v>235</v>
      </c>
      <c r="E120" s="15">
        <v>2.5</v>
      </c>
      <c r="F120" s="15" t="s">
        <v>546</v>
      </c>
      <c r="G120" s="15">
        <v>4</v>
      </c>
      <c r="H120" s="17">
        <v>1957</v>
      </c>
      <c r="I120" s="73">
        <f t="shared" si="3"/>
        <v>19570</v>
      </c>
    </row>
    <row r="121" spans="1:9" x14ac:dyDescent="0.25">
      <c r="A121" s="21" t="s">
        <v>200</v>
      </c>
      <c r="B121" s="21" t="s">
        <v>155</v>
      </c>
      <c r="C121" s="21">
        <v>2015</v>
      </c>
      <c r="D121" s="24" t="s">
        <v>333</v>
      </c>
      <c r="E121" s="21">
        <v>4.5</v>
      </c>
      <c r="F121" s="21"/>
      <c r="G121" s="21">
        <v>2</v>
      </c>
      <c r="H121" s="23">
        <v>2123</v>
      </c>
      <c r="I121" s="73">
        <f t="shared" si="3"/>
        <v>19107</v>
      </c>
    </row>
    <row r="122" spans="1:9" x14ac:dyDescent="0.25">
      <c r="A122" s="15" t="s">
        <v>67</v>
      </c>
      <c r="B122" s="15" t="s">
        <v>243</v>
      </c>
      <c r="C122" s="15">
        <v>10051</v>
      </c>
      <c r="D122" s="18" t="s">
        <v>246</v>
      </c>
      <c r="E122" s="15">
        <v>1</v>
      </c>
      <c r="F122" s="15" t="s">
        <v>542</v>
      </c>
      <c r="G122" s="15">
        <v>12</v>
      </c>
      <c r="H122" s="17">
        <v>1567</v>
      </c>
      <c r="I122" s="73">
        <f t="shared" si="3"/>
        <v>18804</v>
      </c>
    </row>
    <row r="123" spans="1:9" x14ac:dyDescent="0.25">
      <c r="A123" s="15" t="s">
        <v>58</v>
      </c>
      <c r="B123" s="15" t="s">
        <v>57</v>
      </c>
      <c r="C123" s="15">
        <v>10482</v>
      </c>
      <c r="D123" s="18" t="s">
        <v>257</v>
      </c>
      <c r="E123" s="15">
        <v>1</v>
      </c>
      <c r="F123" s="15"/>
      <c r="G123" s="15">
        <v>24</v>
      </c>
      <c r="H123" s="17">
        <v>678</v>
      </c>
      <c r="I123" s="73">
        <f t="shared" si="3"/>
        <v>16272</v>
      </c>
    </row>
    <row r="124" spans="1:9" x14ac:dyDescent="0.25">
      <c r="A124" s="15" t="s">
        <v>277</v>
      </c>
      <c r="B124" s="15" t="s">
        <v>136</v>
      </c>
      <c r="C124" s="15">
        <v>10595</v>
      </c>
      <c r="D124" s="18" t="s">
        <v>287</v>
      </c>
      <c r="E124" s="15">
        <v>1</v>
      </c>
      <c r="F124" s="15" t="s">
        <v>542</v>
      </c>
      <c r="G124" s="15">
        <v>15</v>
      </c>
      <c r="H124" s="17">
        <v>1070</v>
      </c>
      <c r="I124" s="73">
        <f t="shared" si="3"/>
        <v>16050</v>
      </c>
    </row>
    <row r="125" spans="1:9" x14ac:dyDescent="0.25">
      <c r="A125" s="15" t="s">
        <v>58</v>
      </c>
      <c r="B125" s="15" t="s">
        <v>57</v>
      </c>
      <c r="C125" s="15">
        <v>1255</v>
      </c>
      <c r="D125" s="18" t="s">
        <v>251</v>
      </c>
      <c r="E125" s="15">
        <v>1</v>
      </c>
      <c r="F125" s="15"/>
      <c r="G125" s="15">
        <v>24</v>
      </c>
      <c r="H125" s="17">
        <v>659</v>
      </c>
      <c r="I125" s="73">
        <f t="shared" si="3"/>
        <v>15816</v>
      </c>
    </row>
    <row r="126" spans="1:9" x14ac:dyDescent="0.25">
      <c r="A126" s="15" t="s">
        <v>277</v>
      </c>
      <c r="B126" s="15" t="s">
        <v>288</v>
      </c>
      <c r="C126" s="15">
        <v>10039</v>
      </c>
      <c r="D126" s="18" t="s">
        <v>289</v>
      </c>
      <c r="E126" s="15">
        <v>2</v>
      </c>
      <c r="F126" s="15" t="s">
        <v>543</v>
      </c>
      <c r="G126" s="15">
        <v>8</v>
      </c>
      <c r="H126" s="17">
        <v>978</v>
      </c>
      <c r="I126" s="73">
        <f t="shared" si="3"/>
        <v>15648</v>
      </c>
    </row>
    <row r="127" spans="1:9" x14ac:dyDescent="0.25">
      <c r="A127" s="21" t="s">
        <v>200</v>
      </c>
      <c r="B127" s="21" t="s">
        <v>166</v>
      </c>
      <c r="C127" s="21">
        <v>10043</v>
      </c>
      <c r="D127" s="24" t="s">
        <v>334</v>
      </c>
      <c r="E127" s="21">
        <v>2.2999999999999998</v>
      </c>
      <c r="F127" s="21"/>
      <c r="G127" s="21">
        <v>2</v>
      </c>
      <c r="H127" s="23">
        <v>3095</v>
      </c>
      <c r="I127" s="73">
        <f t="shared" si="3"/>
        <v>14236.999999999998</v>
      </c>
    </row>
    <row r="128" spans="1:9" x14ac:dyDescent="0.25">
      <c r="A128" s="15" t="s">
        <v>192</v>
      </c>
      <c r="B128" s="15" t="s">
        <v>193</v>
      </c>
      <c r="C128" s="15">
        <v>10150</v>
      </c>
      <c r="D128" s="16" t="s">
        <v>195</v>
      </c>
      <c r="E128" s="15">
        <v>1</v>
      </c>
      <c r="F128" s="15"/>
      <c r="G128" s="15">
        <v>50</v>
      </c>
      <c r="H128" s="17">
        <v>271</v>
      </c>
      <c r="I128" s="73">
        <f t="shared" si="3"/>
        <v>13550</v>
      </c>
    </row>
    <row r="129" spans="1:9" x14ac:dyDescent="0.25">
      <c r="A129" s="21" t="s">
        <v>58</v>
      </c>
      <c r="B129" s="21" t="s">
        <v>353</v>
      </c>
      <c r="C129" s="21">
        <v>2135</v>
      </c>
      <c r="D129" s="22" t="s">
        <v>359</v>
      </c>
      <c r="E129" s="21">
        <v>10</v>
      </c>
      <c r="F129" s="21"/>
      <c r="G129" s="21">
        <v>15</v>
      </c>
      <c r="H129" s="23">
        <v>90</v>
      </c>
      <c r="I129" s="73">
        <f t="shared" si="3"/>
        <v>13500</v>
      </c>
    </row>
    <row r="130" spans="1:9" x14ac:dyDescent="0.25">
      <c r="A130" s="15" t="s">
        <v>67</v>
      </c>
      <c r="B130" s="15" t="s">
        <v>243</v>
      </c>
      <c r="C130" s="15">
        <v>10052</v>
      </c>
      <c r="D130" s="18" t="s">
        <v>247</v>
      </c>
      <c r="E130" s="15">
        <v>1</v>
      </c>
      <c r="F130" s="15" t="s">
        <v>542</v>
      </c>
      <c r="G130" s="15">
        <v>12</v>
      </c>
      <c r="H130" s="17">
        <v>979</v>
      </c>
      <c r="I130" s="73">
        <f t="shared" si="3"/>
        <v>11748</v>
      </c>
    </row>
    <row r="131" spans="1:9" x14ac:dyDescent="0.25">
      <c r="A131" s="21" t="s">
        <v>37</v>
      </c>
      <c r="B131" s="21" t="s">
        <v>166</v>
      </c>
      <c r="C131" s="21">
        <v>10148</v>
      </c>
      <c r="D131" s="24" t="s">
        <v>373</v>
      </c>
      <c r="E131" s="21">
        <v>2.5499999999999998</v>
      </c>
      <c r="F131" s="21" t="s">
        <v>546</v>
      </c>
      <c r="G131" s="21">
        <v>1</v>
      </c>
      <c r="H131" s="23">
        <v>3672</v>
      </c>
      <c r="I131" s="73">
        <f t="shared" ref="I131:I144" si="4">E131*G131*H131</f>
        <v>9363.5999999999985</v>
      </c>
    </row>
    <row r="132" spans="1:9" x14ac:dyDescent="0.25">
      <c r="A132" s="21" t="s">
        <v>240</v>
      </c>
      <c r="B132" s="21" t="s">
        <v>96</v>
      </c>
      <c r="C132" s="21">
        <v>10562</v>
      </c>
      <c r="D132" s="24" t="s">
        <v>350</v>
      </c>
      <c r="E132" s="21">
        <v>2</v>
      </c>
      <c r="F132" s="21" t="s">
        <v>543</v>
      </c>
      <c r="G132" s="21">
        <v>6</v>
      </c>
      <c r="H132" s="23">
        <v>673</v>
      </c>
      <c r="I132" s="73">
        <f t="shared" si="4"/>
        <v>8076</v>
      </c>
    </row>
    <row r="133" spans="1:9" x14ac:dyDescent="0.25">
      <c r="A133" s="21" t="s">
        <v>104</v>
      </c>
      <c r="B133" s="21" t="s">
        <v>311</v>
      </c>
      <c r="C133" s="21">
        <v>10205</v>
      </c>
      <c r="D133" s="24" t="s">
        <v>312</v>
      </c>
      <c r="E133" s="21">
        <v>100</v>
      </c>
      <c r="F133" s="21"/>
      <c r="G133" s="21">
        <v>10</v>
      </c>
      <c r="H133" s="23">
        <v>5</v>
      </c>
      <c r="I133" s="73">
        <f t="shared" si="4"/>
        <v>5000</v>
      </c>
    </row>
    <row r="134" spans="1:9" x14ac:dyDescent="0.25">
      <c r="A134" s="15" t="s">
        <v>63</v>
      </c>
      <c r="B134" s="15" t="s">
        <v>57</v>
      </c>
      <c r="C134" s="15">
        <v>10515</v>
      </c>
      <c r="D134" s="18" t="s">
        <v>199</v>
      </c>
      <c r="E134" s="15">
        <v>3</v>
      </c>
      <c r="F134" s="15"/>
      <c r="G134" s="15">
        <v>20</v>
      </c>
      <c r="H134" s="17">
        <v>67</v>
      </c>
      <c r="I134" s="73">
        <f t="shared" si="4"/>
        <v>4020</v>
      </c>
    </row>
    <row r="135" spans="1:9" x14ac:dyDescent="0.25">
      <c r="A135" s="21" t="s">
        <v>58</v>
      </c>
      <c r="B135" s="21" t="s">
        <v>143</v>
      </c>
      <c r="C135" s="21">
        <v>2130</v>
      </c>
      <c r="D135" s="22" t="s">
        <v>358</v>
      </c>
      <c r="E135" s="21">
        <v>25</v>
      </c>
      <c r="F135" s="21"/>
      <c r="G135" s="21">
        <v>10</v>
      </c>
      <c r="H135" s="23">
        <v>15</v>
      </c>
      <c r="I135" s="73">
        <f t="shared" si="4"/>
        <v>3750</v>
      </c>
    </row>
    <row r="136" spans="1:9" x14ac:dyDescent="0.25">
      <c r="A136" s="21" t="s">
        <v>37</v>
      </c>
      <c r="B136" s="21" t="s">
        <v>96</v>
      </c>
      <c r="C136" s="21">
        <v>2530</v>
      </c>
      <c r="D136" s="24" t="s">
        <v>370</v>
      </c>
      <c r="E136" s="21">
        <v>16</v>
      </c>
      <c r="F136" s="21" t="s">
        <v>543</v>
      </c>
      <c r="G136" s="21">
        <v>1</v>
      </c>
      <c r="H136" s="23">
        <v>156</v>
      </c>
      <c r="I136" s="73">
        <f t="shared" si="4"/>
        <v>2496</v>
      </c>
    </row>
    <row r="137" spans="1:9" x14ac:dyDescent="0.25">
      <c r="A137" s="21" t="s">
        <v>37</v>
      </c>
      <c r="B137" s="21" t="s">
        <v>96</v>
      </c>
      <c r="C137" s="21">
        <v>2530</v>
      </c>
      <c r="D137" s="24" t="s">
        <v>381</v>
      </c>
      <c r="E137" s="21">
        <v>16</v>
      </c>
      <c r="F137" s="21" t="s">
        <v>543</v>
      </c>
      <c r="G137" s="21">
        <v>1</v>
      </c>
      <c r="H137" s="23">
        <v>136</v>
      </c>
      <c r="I137" s="73">
        <f t="shared" si="4"/>
        <v>2176</v>
      </c>
    </row>
    <row r="138" spans="1:9" x14ac:dyDescent="0.25">
      <c r="A138" s="21" t="s">
        <v>104</v>
      </c>
      <c r="B138" s="21" t="s">
        <v>143</v>
      </c>
      <c r="C138" s="21">
        <v>10548</v>
      </c>
      <c r="D138" s="24" t="s">
        <v>297</v>
      </c>
      <c r="E138" s="21">
        <v>50</v>
      </c>
      <c r="F138" s="21"/>
      <c r="G138" s="21">
        <v>10</v>
      </c>
      <c r="H138" s="23">
        <v>2</v>
      </c>
      <c r="I138" s="73">
        <f t="shared" si="4"/>
        <v>1000</v>
      </c>
    </row>
    <row r="139" spans="1:9" x14ac:dyDescent="0.25">
      <c r="A139" s="21" t="s">
        <v>58</v>
      </c>
      <c r="B139" s="21" t="s">
        <v>353</v>
      </c>
      <c r="C139" s="21">
        <v>2170</v>
      </c>
      <c r="D139" s="22" t="s">
        <v>360</v>
      </c>
      <c r="E139" s="21">
        <v>50</v>
      </c>
      <c r="F139" s="21"/>
      <c r="G139" s="21">
        <v>5</v>
      </c>
      <c r="H139" s="23">
        <v>2</v>
      </c>
      <c r="I139" s="73">
        <f t="shared" si="4"/>
        <v>500</v>
      </c>
    </row>
    <row r="140" spans="1:9" x14ac:dyDescent="0.25">
      <c r="A140" s="21" t="s">
        <v>104</v>
      </c>
      <c r="B140" s="21" t="s">
        <v>143</v>
      </c>
      <c r="C140" s="21">
        <v>10428</v>
      </c>
      <c r="D140" s="24" t="s">
        <v>298</v>
      </c>
      <c r="E140" s="21">
        <v>50</v>
      </c>
      <c r="F140" s="21"/>
      <c r="G140" s="21">
        <v>10</v>
      </c>
      <c r="H140" s="23">
        <v>1</v>
      </c>
      <c r="I140" s="73">
        <f t="shared" si="4"/>
        <v>500</v>
      </c>
    </row>
    <row r="141" spans="1:9" x14ac:dyDescent="0.25">
      <c r="A141" s="21" t="s">
        <v>37</v>
      </c>
      <c r="B141" s="21" t="s">
        <v>155</v>
      </c>
      <c r="C141" s="21">
        <v>10555</v>
      </c>
      <c r="D141" s="24" t="s">
        <v>379</v>
      </c>
      <c r="E141" s="21">
        <v>15</v>
      </c>
      <c r="F141" s="21" t="s">
        <v>548</v>
      </c>
      <c r="G141" s="21">
        <v>1</v>
      </c>
      <c r="H141" s="23">
        <v>30</v>
      </c>
      <c r="I141" s="73">
        <f t="shared" si="4"/>
        <v>450</v>
      </c>
    </row>
    <row r="142" spans="1:9" x14ac:dyDescent="0.25">
      <c r="A142" s="21" t="s">
        <v>345</v>
      </c>
      <c r="B142" s="21" t="s">
        <v>146</v>
      </c>
      <c r="C142" s="21">
        <v>10560</v>
      </c>
      <c r="D142" s="24" t="s">
        <v>348</v>
      </c>
      <c r="E142" s="21">
        <v>3.7</v>
      </c>
      <c r="F142" s="21" t="s">
        <v>546</v>
      </c>
      <c r="G142" s="21">
        <v>1</v>
      </c>
      <c r="H142" s="23">
        <v>54</v>
      </c>
      <c r="I142" s="73">
        <f t="shared" si="4"/>
        <v>199.8</v>
      </c>
    </row>
    <row r="143" spans="1:9" x14ac:dyDescent="0.25">
      <c r="A143" s="21" t="s">
        <v>345</v>
      </c>
      <c r="B143" s="21" t="s">
        <v>146</v>
      </c>
      <c r="C143" s="21">
        <v>10561</v>
      </c>
      <c r="D143" s="24" t="s">
        <v>346</v>
      </c>
      <c r="E143" s="21">
        <v>1</v>
      </c>
      <c r="F143" s="21" t="s">
        <v>543</v>
      </c>
      <c r="G143" s="21">
        <v>6</v>
      </c>
      <c r="H143" s="23">
        <v>20</v>
      </c>
      <c r="I143" s="73">
        <f t="shared" si="4"/>
        <v>120</v>
      </c>
    </row>
    <row r="144" spans="1:9" x14ac:dyDescent="0.25">
      <c r="A144" s="15" t="s">
        <v>200</v>
      </c>
      <c r="B144" s="15" t="s">
        <v>207</v>
      </c>
      <c r="C144" s="15">
        <v>10191</v>
      </c>
      <c r="D144" s="18" t="s">
        <v>216</v>
      </c>
      <c r="E144" s="15">
        <v>680</v>
      </c>
      <c r="F144" s="15" t="s">
        <v>24</v>
      </c>
      <c r="G144" s="15">
        <v>12</v>
      </c>
      <c r="H144" s="17">
        <v>0</v>
      </c>
      <c r="I144" s="73">
        <f t="shared" si="4"/>
        <v>0</v>
      </c>
    </row>
    <row r="146" spans="9:10" x14ac:dyDescent="0.25">
      <c r="I146" s="36">
        <f>SUM(I3:I145)</f>
        <v>618388610.60000002</v>
      </c>
      <c r="J146">
        <f>SUBTOTAL(9,I4:I144)</f>
        <v>386548610.60000002</v>
      </c>
    </row>
    <row r="147" spans="9:10" x14ac:dyDescent="0.25">
      <c r="J147" s="97">
        <f>J146/I146</f>
        <v>0.62509011966592642</v>
      </c>
    </row>
  </sheetData>
  <autoFilter ref="A1:I144" xr:uid="{AB017CE2-6748-45E7-B6D2-6A81244D4710}">
    <sortState xmlns:xlrd2="http://schemas.microsoft.com/office/spreadsheetml/2017/richdata2" ref="A4:I144">
      <sortCondition descending="1" ref="I1:I144"/>
    </sortState>
  </autoFilter>
  <sortState xmlns:xlrd2="http://schemas.microsoft.com/office/spreadsheetml/2017/richdata2" ref="A4:H144">
    <sortCondition descending="1" ref="H3:H144"/>
  </sortState>
  <mergeCells count="9">
    <mergeCell ref="I1:I2"/>
    <mergeCell ref="H1:H2"/>
    <mergeCell ref="A1:A2"/>
    <mergeCell ref="B1:B2"/>
    <mergeCell ref="C1:C2"/>
    <mergeCell ref="D1:D2"/>
    <mergeCell ref="E1:E2"/>
    <mergeCell ref="G1:G2"/>
    <mergeCell ref="F1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4BD3-3CFC-48FF-9A90-A79DC982E7C6}">
  <dimension ref="A2:K26"/>
  <sheetViews>
    <sheetView zoomScale="190" zoomScaleNormal="190" workbookViewId="0">
      <selection activeCell="A3" sqref="A3"/>
    </sheetView>
  </sheetViews>
  <sheetFormatPr defaultRowHeight="15" x14ac:dyDescent="0.25"/>
  <cols>
    <col min="1" max="1" width="28.7109375" bestFit="1" customWidth="1"/>
    <col min="2" max="2" width="24.28515625" bestFit="1" customWidth="1"/>
    <col min="4" max="4" width="28.7109375" bestFit="1" customWidth="1"/>
    <col min="5" max="5" width="11.5703125" bestFit="1" customWidth="1"/>
  </cols>
  <sheetData>
    <row r="2" spans="1:11" x14ac:dyDescent="0.25">
      <c r="G2" s="20"/>
      <c r="H2" s="20"/>
      <c r="I2" s="20"/>
      <c r="J2" s="20"/>
      <c r="K2" s="20"/>
    </row>
    <row r="3" spans="1:11" x14ac:dyDescent="0.25">
      <c r="A3" s="11" t="s">
        <v>172</v>
      </c>
      <c r="B3" t="s">
        <v>402</v>
      </c>
      <c r="D3" s="13" t="s">
        <v>175</v>
      </c>
      <c r="E3" s="13" t="s">
        <v>403</v>
      </c>
      <c r="G3" s="20"/>
      <c r="H3" s="20"/>
      <c r="I3" s="20"/>
      <c r="J3" s="20"/>
      <c r="K3" s="20"/>
    </row>
    <row r="4" spans="1:11" x14ac:dyDescent="0.25">
      <c r="A4" s="12" t="s">
        <v>190</v>
      </c>
      <c r="B4" s="36">
        <v>2553</v>
      </c>
      <c r="D4" s="51" t="s">
        <v>265</v>
      </c>
      <c r="E4" s="122">
        <v>70232</v>
      </c>
      <c r="G4" s="20"/>
      <c r="H4" s="20"/>
      <c r="I4" s="20"/>
      <c r="J4" s="20"/>
      <c r="K4" s="20"/>
    </row>
    <row r="5" spans="1:11" x14ac:dyDescent="0.25">
      <c r="A5" s="12" t="s">
        <v>192</v>
      </c>
      <c r="B5" s="36">
        <v>6208</v>
      </c>
      <c r="D5" s="51" t="s">
        <v>52</v>
      </c>
      <c r="E5" s="122">
        <v>60527</v>
      </c>
      <c r="G5" s="20"/>
      <c r="H5" s="20"/>
      <c r="I5" s="20"/>
      <c r="J5" s="20"/>
      <c r="K5" s="20"/>
    </row>
    <row r="6" spans="1:11" x14ac:dyDescent="0.25">
      <c r="A6" s="12" t="s">
        <v>63</v>
      </c>
      <c r="B6" s="36">
        <v>2747</v>
      </c>
      <c r="D6" s="52" t="s">
        <v>200</v>
      </c>
      <c r="E6" s="122">
        <v>53297.96</v>
      </c>
      <c r="G6" s="20"/>
      <c r="H6" s="20"/>
      <c r="I6" s="20"/>
      <c r="J6" s="20"/>
      <c r="K6" s="20"/>
    </row>
    <row r="7" spans="1:11" x14ac:dyDescent="0.25">
      <c r="A7" s="12" t="s">
        <v>104</v>
      </c>
      <c r="B7" s="36">
        <v>22514</v>
      </c>
      <c r="D7" s="51" t="s">
        <v>118</v>
      </c>
      <c r="E7" s="122">
        <v>49980</v>
      </c>
      <c r="G7" s="20"/>
      <c r="H7" s="20"/>
      <c r="I7" s="20"/>
      <c r="J7" s="20"/>
      <c r="K7" s="20"/>
    </row>
    <row r="8" spans="1:11" x14ac:dyDescent="0.25">
      <c r="A8" s="12" t="s">
        <v>317</v>
      </c>
      <c r="B8" s="36">
        <v>3937</v>
      </c>
      <c r="D8" s="50" t="s">
        <v>37</v>
      </c>
      <c r="E8" s="122">
        <v>32688</v>
      </c>
      <c r="G8" s="20"/>
      <c r="H8" s="20"/>
      <c r="I8" s="20"/>
      <c r="J8" s="20"/>
      <c r="K8" s="20"/>
    </row>
    <row r="9" spans="1:11" x14ac:dyDescent="0.25">
      <c r="A9" s="12" t="s">
        <v>200</v>
      </c>
      <c r="B9" s="36">
        <v>53297.96</v>
      </c>
      <c r="D9" s="52" t="s">
        <v>338</v>
      </c>
      <c r="E9" s="122">
        <v>29076</v>
      </c>
      <c r="G9" s="20"/>
      <c r="H9" s="20"/>
      <c r="I9" s="20"/>
      <c r="J9" s="20"/>
      <c r="K9" s="20"/>
    </row>
    <row r="10" spans="1:11" x14ac:dyDescent="0.25">
      <c r="A10" s="12" t="s">
        <v>338</v>
      </c>
      <c r="B10" s="36">
        <v>29076</v>
      </c>
      <c r="D10" s="51" t="s">
        <v>58</v>
      </c>
      <c r="E10" s="122">
        <v>23931</v>
      </c>
      <c r="G10" s="20"/>
      <c r="H10" s="20"/>
      <c r="I10" s="20"/>
      <c r="J10" s="20"/>
      <c r="K10" s="20"/>
    </row>
    <row r="11" spans="1:11" x14ac:dyDescent="0.25">
      <c r="A11" s="12" t="s">
        <v>345</v>
      </c>
      <c r="B11" s="36">
        <v>74</v>
      </c>
      <c r="D11" s="51" t="s">
        <v>104</v>
      </c>
      <c r="E11" s="122">
        <v>22514</v>
      </c>
      <c r="G11" s="20"/>
      <c r="H11" s="20"/>
      <c r="I11" s="20"/>
      <c r="J11" s="20"/>
      <c r="K11" s="20"/>
    </row>
    <row r="12" spans="1:11" x14ac:dyDescent="0.25">
      <c r="A12" s="12" t="s">
        <v>232</v>
      </c>
      <c r="B12" s="36">
        <v>9115</v>
      </c>
      <c r="D12" s="50" t="s">
        <v>277</v>
      </c>
      <c r="E12" s="122">
        <v>22139</v>
      </c>
      <c r="G12" s="20"/>
      <c r="H12" s="20"/>
      <c r="I12" s="20"/>
      <c r="J12" s="20"/>
      <c r="K12" s="20"/>
    </row>
    <row r="13" spans="1:11" x14ac:dyDescent="0.25">
      <c r="A13" s="12" t="s">
        <v>240</v>
      </c>
      <c r="B13" s="36">
        <v>4117</v>
      </c>
      <c r="D13" s="51" t="s">
        <v>232</v>
      </c>
      <c r="E13" s="122">
        <v>9115</v>
      </c>
      <c r="G13" s="20"/>
      <c r="H13" s="20"/>
      <c r="I13" s="20"/>
      <c r="J13" s="20"/>
      <c r="K13" s="20"/>
    </row>
    <row r="14" spans="1:11" x14ac:dyDescent="0.25">
      <c r="A14" s="12" t="s">
        <v>67</v>
      </c>
      <c r="B14" s="36">
        <v>4986</v>
      </c>
      <c r="D14" s="50" t="s">
        <v>192</v>
      </c>
      <c r="E14" s="122">
        <v>6208</v>
      </c>
      <c r="G14" s="20"/>
      <c r="H14" s="20"/>
      <c r="I14" s="20"/>
      <c r="J14" s="20"/>
      <c r="K14" s="20"/>
    </row>
    <row r="15" spans="1:11" x14ac:dyDescent="0.25">
      <c r="A15" s="12" t="s">
        <v>137</v>
      </c>
      <c r="B15" s="36">
        <v>2496</v>
      </c>
      <c r="D15" s="51" t="s">
        <v>67</v>
      </c>
      <c r="E15" s="122">
        <v>4986</v>
      </c>
      <c r="G15" s="20"/>
      <c r="H15" s="20"/>
      <c r="I15" s="20"/>
      <c r="J15" s="20"/>
      <c r="K15" s="20"/>
    </row>
    <row r="16" spans="1:11" x14ac:dyDescent="0.25">
      <c r="A16" s="12" t="s">
        <v>58</v>
      </c>
      <c r="B16" s="36">
        <v>23931</v>
      </c>
      <c r="D16" s="51" t="s">
        <v>240</v>
      </c>
      <c r="E16" s="122">
        <v>4117</v>
      </c>
      <c r="G16" s="20"/>
      <c r="H16" s="20"/>
      <c r="I16" s="20"/>
      <c r="J16" s="20"/>
      <c r="K16" s="20"/>
    </row>
    <row r="17" spans="1:11" x14ac:dyDescent="0.25">
      <c r="A17" s="12" t="s">
        <v>52</v>
      </c>
      <c r="B17" s="36">
        <v>60527</v>
      </c>
      <c r="D17" s="50" t="s">
        <v>317</v>
      </c>
      <c r="E17" s="122">
        <v>3937</v>
      </c>
      <c r="G17" s="20"/>
      <c r="H17" s="20"/>
      <c r="I17" s="20"/>
      <c r="J17" s="20"/>
      <c r="K17" s="20"/>
    </row>
    <row r="18" spans="1:11" x14ac:dyDescent="0.25">
      <c r="A18" s="12" t="s">
        <v>265</v>
      </c>
      <c r="B18" s="36">
        <v>70232</v>
      </c>
      <c r="D18" s="51" t="s">
        <v>63</v>
      </c>
      <c r="E18" s="122">
        <v>2747</v>
      </c>
      <c r="G18" s="20"/>
      <c r="H18" s="20"/>
      <c r="I18" s="20"/>
      <c r="J18" s="20"/>
      <c r="K18" s="20"/>
    </row>
    <row r="19" spans="1:11" x14ac:dyDescent="0.25">
      <c r="A19" s="12" t="s">
        <v>277</v>
      </c>
      <c r="B19" s="36">
        <v>22139</v>
      </c>
      <c r="D19" s="50" t="s">
        <v>190</v>
      </c>
      <c r="E19" s="122">
        <v>2553</v>
      </c>
      <c r="G19" s="20"/>
      <c r="H19" s="20"/>
      <c r="I19" s="20"/>
      <c r="J19" s="20"/>
      <c r="K19" s="20"/>
    </row>
    <row r="20" spans="1:11" x14ac:dyDescent="0.25">
      <c r="A20" s="12" t="s">
        <v>37</v>
      </c>
      <c r="B20" s="36">
        <v>32688</v>
      </c>
      <c r="D20" s="52" t="s">
        <v>137</v>
      </c>
      <c r="E20" s="122">
        <v>2496</v>
      </c>
      <c r="G20" s="20"/>
      <c r="H20" s="20"/>
      <c r="I20" s="20"/>
      <c r="J20" s="20"/>
      <c r="K20" s="20"/>
    </row>
    <row r="21" spans="1:11" x14ac:dyDescent="0.25">
      <c r="A21" s="12" t="s">
        <v>118</v>
      </c>
      <c r="B21" s="36">
        <v>49980</v>
      </c>
      <c r="D21" s="52" t="s">
        <v>345</v>
      </c>
      <c r="E21" s="122">
        <v>74</v>
      </c>
      <c r="G21" s="20"/>
      <c r="H21" s="20"/>
      <c r="I21" s="20"/>
      <c r="J21" s="20"/>
      <c r="K21" s="20"/>
    </row>
    <row r="22" spans="1:11" x14ac:dyDescent="0.25">
      <c r="A22" s="12" t="s">
        <v>401</v>
      </c>
      <c r="G22" s="20"/>
      <c r="H22" s="20"/>
      <c r="I22" s="20"/>
      <c r="J22" s="20"/>
      <c r="K22" s="20"/>
    </row>
    <row r="23" spans="1:11" x14ac:dyDescent="0.25">
      <c r="A23" s="12" t="s">
        <v>173</v>
      </c>
      <c r="B23" s="36">
        <v>400617.95999999996</v>
      </c>
      <c r="G23" s="20"/>
      <c r="H23" s="20"/>
      <c r="I23" s="20"/>
      <c r="J23" s="20"/>
      <c r="K23" s="20"/>
    </row>
    <row r="24" spans="1:11" x14ac:dyDescent="0.25">
      <c r="G24" s="20"/>
      <c r="H24" s="20"/>
      <c r="I24" s="20"/>
      <c r="J24" s="20"/>
      <c r="K24" s="20"/>
    </row>
    <row r="25" spans="1:11" x14ac:dyDescent="0.25">
      <c r="G25" s="20"/>
      <c r="H25" s="20"/>
      <c r="I25" s="20"/>
      <c r="J25" s="20"/>
      <c r="K25" s="20"/>
    </row>
    <row r="26" spans="1:11" x14ac:dyDescent="0.25">
      <c r="G26" s="20"/>
      <c r="H26" s="20"/>
      <c r="I26" s="20"/>
      <c r="J26" s="20"/>
      <c r="K26" s="20"/>
    </row>
  </sheetData>
  <sortState xmlns:xlrd2="http://schemas.microsoft.com/office/spreadsheetml/2017/richdata2" ref="D4:E21">
    <sortCondition descending="1" ref="E4:E21"/>
  </sortState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509-B84E-4B69-971E-D509ACD30822}">
  <dimension ref="A3:E30"/>
  <sheetViews>
    <sheetView workbookViewId="0">
      <selection activeCell="R31" sqref="R31"/>
    </sheetView>
  </sheetViews>
  <sheetFormatPr defaultRowHeight="15" x14ac:dyDescent="0.25"/>
  <cols>
    <col min="1" max="1" width="16.7109375" bestFit="1" customWidth="1"/>
    <col min="2" max="2" width="24.28515625" bestFit="1" customWidth="1"/>
    <col min="4" max="4" width="16.7109375" bestFit="1" customWidth="1"/>
  </cols>
  <sheetData>
    <row r="3" spans="1:5" ht="18" thickBot="1" x14ac:dyDescent="0.35">
      <c r="A3" s="11" t="s">
        <v>172</v>
      </c>
      <c r="B3" t="s">
        <v>402</v>
      </c>
      <c r="D3" s="104" t="s">
        <v>2</v>
      </c>
      <c r="E3" s="104" t="s">
        <v>536</v>
      </c>
    </row>
    <row r="4" spans="1:5" ht="15.75" thickTop="1" x14ac:dyDescent="0.25">
      <c r="A4" s="12" t="s">
        <v>96</v>
      </c>
      <c r="B4">
        <v>12862</v>
      </c>
      <c r="D4" s="12" t="s">
        <v>96</v>
      </c>
      <c r="E4">
        <v>12862</v>
      </c>
    </row>
    <row r="5" spans="1:5" x14ac:dyDescent="0.25">
      <c r="A5" s="12" t="s">
        <v>103</v>
      </c>
      <c r="B5">
        <v>6121</v>
      </c>
      <c r="D5" s="12" t="s">
        <v>103</v>
      </c>
      <c r="E5">
        <v>6121</v>
      </c>
    </row>
    <row r="6" spans="1:5" x14ac:dyDescent="0.25">
      <c r="A6" s="12" t="s">
        <v>229</v>
      </c>
      <c r="B6">
        <v>865</v>
      </c>
      <c r="D6" s="12" t="s">
        <v>229</v>
      </c>
      <c r="E6">
        <v>865</v>
      </c>
    </row>
    <row r="7" spans="1:5" x14ac:dyDescent="0.25">
      <c r="A7" s="12" t="s">
        <v>201</v>
      </c>
      <c r="B7">
        <v>6063</v>
      </c>
      <c r="D7" s="12" t="s">
        <v>201</v>
      </c>
      <c r="E7">
        <v>6063</v>
      </c>
    </row>
    <row r="8" spans="1:5" x14ac:dyDescent="0.25">
      <c r="A8" s="12" t="s">
        <v>207</v>
      </c>
      <c r="B8">
        <v>19417</v>
      </c>
      <c r="D8" s="12" t="s">
        <v>207</v>
      </c>
      <c r="E8">
        <v>19417</v>
      </c>
    </row>
    <row r="9" spans="1:5" x14ac:dyDescent="0.25">
      <c r="A9" s="12" t="s">
        <v>193</v>
      </c>
      <c r="B9">
        <v>6208</v>
      </c>
      <c r="D9" s="12" t="s">
        <v>193</v>
      </c>
      <c r="E9">
        <v>6208</v>
      </c>
    </row>
    <row r="10" spans="1:5" x14ac:dyDescent="0.25">
      <c r="A10" s="12" t="s">
        <v>311</v>
      </c>
      <c r="B10">
        <v>30</v>
      </c>
      <c r="D10" s="12" t="s">
        <v>311</v>
      </c>
      <c r="E10">
        <v>30</v>
      </c>
    </row>
    <row r="11" spans="1:5" x14ac:dyDescent="0.25">
      <c r="A11" s="12" t="s">
        <v>288</v>
      </c>
      <c r="B11">
        <v>8467</v>
      </c>
      <c r="D11" s="12" t="s">
        <v>288</v>
      </c>
      <c r="E11">
        <v>8467</v>
      </c>
    </row>
    <row r="12" spans="1:5" x14ac:dyDescent="0.25">
      <c r="A12" s="12" t="s">
        <v>353</v>
      </c>
      <c r="B12">
        <v>419</v>
      </c>
      <c r="D12" s="12" t="s">
        <v>353</v>
      </c>
      <c r="E12">
        <v>419</v>
      </c>
    </row>
    <row r="13" spans="1:5" x14ac:dyDescent="0.25">
      <c r="A13" s="12" t="s">
        <v>261</v>
      </c>
      <c r="B13">
        <v>60527</v>
      </c>
      <c r="D13" s="12" t="s">
        <v>261</v>
      </c>
      <c r="E13">
        <v>60527</v>
      </c>
    </row>
    <row r="14" spans="1:5" x14ac:dyDescent="0.25">
      <c r="A14" s="12" t="s">
        <v>57</v>
      </c>
      <c r="B14">
        <v>18188</v>
      </c>
      <c r="D14" s="12" t="s">
        <v>57</v>
      </c>
      <c r="E14">
        <v>18188</v>
      </c>
    </row>
    <row r="15" spans="1:5" x14ac:dyDescent="0.25">
      <c r="A15" s="12" t="s">
        <v>218</v>
      </c>
      <c r="B15">
        <v>5981</v>
      </c>
      <c r="D15" s="12" t="s">
        <v>218</v>
      </c>
      <c r="E15">
        <v>5981</v>
      </c>
    </row>
    <row r="16" spans="1:5" x14ac:dyDescent="0.25">
      <c r="A16" s="12" t="s">
        <v>243</v>
      </c>
      <c r="B16">
        <v>4986</v>
      </c>
      <c r="D16" s="12" t="s">
        <v>243</v>
      </c>
      <c r="E16">
        <v>4986</v>
      </c>
    </row>
    <row r="17" spans="1:5" x14ac:dyDescent="0.25">
      <c r="A17" s="12" t="s">
        <v>117</v>
      </c>
      <c r="B17">
        <v>76892</v>
      </c>
      <c r="D17" s="12" t="s">
        <v>117</v>
      </c>
      <c r="E17">
        <v>76892</v>
      </c>
    </row>
    <row r="18" spans="1:5" x14ac:dyDescent="0.25">
      <c r="A18" s="12" t="s">
        <v>318</v>
      </c>
      <c r="B18">
        <v>3937</v>
      </c>
      <c r="D18" s="12" t="s">
        <v>318</v>
      </c>
      <c r="E18">
        <v>3937</v>
      </c>
    </row>
    <row r="19" spans="1:5" x14ac:dyDescent="0.25">
      <c r="A19" s="12" t="s">
        <v>136</v>
      </c>
      <c r="B19">
        <v>5235</v>
      </c>
      <c r="D19" s="12" t="s">
        <v>136</v>
      </c>
      <c r="E19">
        <v>5235</v>
      </c>
    </row>
    <row r="20" spans="1:5" x14ac:dyDescent="0.25">
      <c r="A20" s="12" t="s">
        <v>281</v>
      </c>
      <c r="B20">
        <v>4531</v>
      </c>
      <c r="D20" s="12" t="s">
        <v>281</v>
      </c>
      <c r="E20">
        <v>4531</v>
      </c>
    </row>
    <row r="21" spans="1:5" x14ac:dyDescent="0.25">
      <c r="A21" s="12" t="s">
        <v>82</v>
      </c>
      <c r="B21">
        <v>9115</v>
      </c>
      <c r="D21" s="12" t="s">
        <v>82</v>
      </c>
      <c r="E21">
        <v>9115</v>
      </c>
    </row>
    <row r="22" spans="1:5" x14ac:dyDescent="0.25">
      <c r="A22" s="12" t="s">
        <v>143</v>
      </c>
      <c r="B22">
        <v>75</v>
      </c>
      <c r="D22" s="12" t="s">
        <v>143</v>
      </c>
      <c r="E22">
        <v>75</v>
      </c>
    </row>
    <row r="23" spans="1:5" x14ac:dyDescent="0.25">
      <c r="A23" s="12" t="s">
        <v>146</v>
      </c>
      <c r="B23">
        <v>22229.96</v>
      </c>
      <c r="D23" s="12" t="s">
        <v>146</v>
      </c>
      <c r="E23">
        <v>22229.96</v>
      </c>
    </row>
    <row r="24" spans="1:5" x14ac:dyDescent="0.25">
      <c r="A24" s="12" t="s">
        <v>153</v>
      </c>
      <c r="B24">
        <v>10146</v>
      </c>
      <c r="D24" s="12" t="s">
        <v>153</v>
      </c>
      <c r="E24">
        <v>10146</v>
      </c>
    </row>
    <row r="25" spans="1:5" x14ac:dyDescent="0.25">
      <c r="A25" s="12" t="s">
        <v>155</v>
      </c>
      <c r="B25">
        <v>12248</v>
      </c>
      <c r="D25" s="12" t="s">
        <v>155</v>
      </c>
      <c r="E25">
        <v>12248</v>
      </c>
    </row>
    <row r="26" spans="1:5" x14ac:dyDescent="0.25">
      <c r="A26" s="12" t="s">
        <v>157</v>
      </c>
      <c r="B26">
        <v>29076</v>
      </c>
      <c r="D26" s="12" t="s">
        <v>157</v>
      </c>
      <c r="E26">
        <v>29076</v>
      </c>
    </row>
    <row r="27" spans="1:5" x14ac:dyDescent="0.25">
      <c r="A27" s="12" t="s">
        <v>166</v>
      </c>
      <c r="B27">
        <v>6767</v>
      </c>
      <c r="D27" s="12" t="s">
        <v>166</v>
      </c>
      <c r="E27">
        <v>6767</v>
      </c>
    </row>
    <row r="28" spans="1:5" x14ac:dyDescent="0.25">
      <c r="A28" s="12" t="s">
        <v>266</v>
      </c>
      <c r="B28">
        <v>70232</v>
      </c>
      <c r="D28" s="12" t="s">
        <v>266</v>
      </c>
      <c r="E28">
        <v>70232</v>
      </c>
    </row>
    <row r="29" spans="1:5" x14ac:dyDescent="0.25">
      <c r="A29" s="12" t="s">
        <v>401</v>
      </c>
    </row>
    <row r="30" spans="1:5" x14ac:dyDescent="0.25">
      <c r="A30" s="12" t="s">
        <v>173</v>
      </c>
      <c r="B30">
        <v>400617.96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F011E060E94443A80084F0159D0261" ma:contentTypeVersion="19" ma:contentTypeDescription="Create a new document." ma:contentTypeScope="" ma:versionID="68c806dcabccc5c2b5ad067e3e7e55a1">
  <xsd:schema xmlns:xsd="http://www.w3.org/2001/XMLSchema" xmlns:xs="http://www.w3.org/2001/XMLSchema" xmlns:p="http://schemas.microsoft.com/office/2006/metadata/properties" xmlns:ns2="dde0e711-b082-426d-b70a-51011ad7ac2b" xmlns:ns3="150313d6-7c60-4f0f-80e5-2ffc52f56670" targetNamespace="http://schemas.microsoft.com/office/2006/metadata/properties" ma:root="true" ma:fieldsID="6fae8e457a1883561553698805933ff0" ns2:_="" ns3:_="">
    <xsd:import namespace="dde0e711-b082-426d-b70a-51011ad7ac2b"/>
    <xsd:import namespace="150313d6-7c60-4f0f-80e5-2ffc52f56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0e711-b082-426d-b70a-51011ad7a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1deca7f-f25b-472a-bdd3-73c59aa89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13d6-7c60-4f0f-80e5-2ffc52f566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e99a044-ed9d-481c-9581-d631f14ea281}" ma:internalName="TaxCatchAll" ma:showField="CatchAllData" ma:web="150313d6-7c60-4f0f-80e5-2ffc52f566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0e711-b082-426d-b70a-51011ad7ac2b">
      <Terms xmlns="http://schemas.microsoft.com/office/infopath/2007/PartnerControls"/>
    </lcf76f155ced4ddcb4097134ff3c332f>
    <TaxCatchAll xmlns="150313d6-7c60-4f0f-80e5-2ffc52f56670" xsi:nil="true"/>
  </documentManagement>
</p:properties>
</file>

<file path=customXml/itemProps1.xml><?xml version="1.0" encoding="utf-8"?>
<ds:datastoreItem xmlns:ds="http://schemas.openxmlformats.org/officeDocument/2006/customXml" ds:itemID="{819F684D-D39A-45D3-9B41-FF7BD9C5B0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648AE3-1D60-45A0-917B-5BB19185F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0e711-b082-426d-b70a-51011ad7ac2b"/>
    <ds:schemaRef ds:uri="150313d6-7c60-4f0f-80e5-2ffc52f56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E7ED-37F7-469D-89AF-642F09725743}">
  <ds:schemaRefs>
    <ds:schemaRef ds:uri="http://schemas.microsoft.com/office/2006/metadata/properties"/>
    <ds:schemaRef ds:uri="http://schemas.microsoft.com/office/infopath/2007/PartnerControls"/>
    <ds:schemaRef ds:uri="dde0e711-b082-426d-b70a-51011ad7ac2b"/>
    <ds:schemaRef ds:uri="150313d6-7c60-4f0f-80e5-2ffc52f566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</vt:i4>
      </vt:variant>
    </vt:vector>
  </HeadingPairs>
  <TitlesOfParts>
    <vt:vector size="26" baseType="lpstr">
      <vt:lpstr>REPAK Summary</vt:lpstr>
      <vt:lpstr>RepakH224Sum</vt:lpstr>
      <vt:lpstr>RepakH224</vt:lpstr>
      <vt:lpstr>RepakH124Sum</vt:lpstr>
      <vt:lpstr>RepakH124</vt:lpstr>
      <vt:lpstr>Summary</vt:lpstr>
      <vt:lpstr>HSWHProdsMerged</vt:lpstr>
      <vt:lpstr>HSWHProdsVolsMerged</vt:lpstr>
      <vt:lpstr>MrgSuppPvt-ProdCount</vt:lpstr>
      <vt:lpstr>HWWHSpcMat</vt:lpstr>
      <vt:lpstr>HSWHPkgType123</vt:lpstr>
      <vt:lpstr>HSWHPkgLvls</vt:lpstr>
      <vt:lpstr>HSWHPkgKGs</vt:lpstr>
      <vt:lpstr>Specs-HS</vt:lpstr>
      <vt:lpstr>HS 2024 Vols</vt:lpstr>
      <vt:lpstr>Specs-WH</vt:lpstr>
      <vt:lpstr>WH Single Product</vt:lpstr>
      <vt:lpstr>WH 2024 Vols</vt:lpstr>
      <vt:lpstr>Vols</vt:lpstr>
      <vt:lpstr>HSWH2024VolMrg</vt:lpstr>
      <vt:lpstr>HSWHVolsPivot</vt:lpstr>
      <vt:lpstr>VolbyDept</vt:lpstr>
      <vt:lpstr>RepakH124!Print_Titles</vt:lpstr>
      <vt:lpstr>RepakH124Sum!Print_Titles</vt:lpstr>
      <vt:lpstr>RepakH224!Print_Titles</vt:lpstr>
      <vt:lpstr>RepakH224Sum!Print_Titles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Correa</dc:creator>
  <cp:lastModifiedBy>Brian Minehane</cp:lastModifiedBy>
  <dcterms:created xsi:type="dcterms:W3CDTF">2015-06-05T18:17:20Z</dcterms:created>
  <dcterms:modified xsi:type="dcterms:W3CDTF">2026-06-08T09:59:52Z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0x010100A7F011E060E94443A80084F0159D0261</vt:lpwstr>
  </property>
  <property fmtid="{D5CDD505-2E9C-101B-9397-08002B2CF9AE}" pid="3" name="MediaServiceImageTags">
    <vt:lpwstr/>
  </property>
</Properties>
</file>